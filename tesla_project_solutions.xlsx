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350006\Videos\"/>
    </mc:Choice>
  </mc:AlternateContent>
  <xr:revisionPtr revIDLastSave="0" documentId="8_{4CAC2621-F008-4F37-A11B-03C563088345}" xr6:coauthVersionLast="47" xr6:coauthVersionMax="47" xr10:uidLastSave="{00000000-0000-0000-0000-000000000000}"/>
  <bookViews>
    <workbookView xWindow="-110" yWindow="-110" windowWidth="19420" windowHeight="11500" xr2:uid="{6E8F990E-E83D-4DD8-B840-5A1E0C2B4EB7}"/>
  </bookViews>
  <sheets>
    <sheet name="Posts" sheetId="4" r:id="rId1"/>
    <sheet name="Campaign" sheetId="2" r:id="rId2"/>
    <sheet name="Engagement Summary" sheetId="3" r:id="rId3"/>
    <sheet name="Task 2" sheetId="1" r:id="rId4"/>
    <sheet name="Task 3" sheetId="9" r:id="rId5"/>
    <sheet name="Task 4" sheetId="14" r:id="rId6"/>
    <sheet name="Task 5" sheetId="16" r:id="rId7"/>
    <sheet name="Task 6" sheetId="18" r:id="rId8"/>
    <sheet name="clarity" sheetId="19" r:id="rId9"/>
    <sheet name="video " sheetId="20" r:id="rId10"/>
  </sheets>
  <externalReferences>
    <externalReference r:id="rId11"/>
  </externalReferences>
  <definedNames>
    <definedName name="ExternalData_1" localSheetId="1" hidden="1">Campaign!$A$1:$G$5</definedName>
    <definedName name="ExternalData_2" localSheetId="2" hidden="1">'Engagement Summary'!$A$1:$J$201</definedName>
    <definedName name="ExternalData_3" localSheetId="0" hidden="1">Posts!$A$1:$O$340</definedName>
    <definedName name="Slicer_Content_Typ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5" i="16" l="1"/>
  <c r="C66" i="16"/>
  <c r="C63" i="16"/>
  <c r="C64" i="16"/>
  <c r="K3" i="3" l="1"/>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 i="3"/>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C52" i="16"/>
  <c r="E52" i="16" s="1"/>
  <c r="C53" i="16"/>
  <c r="E53" i="16" s="1"/>
  <c r="C50" i="16"/>
  <c r="E50" i="16" s="1"/>
  <c r="C51" i="16"/>
  <c r="E51" i="16" s="1"/>
  <c r="F32" i="16"/>
  <c r="F33" i="16"/>
  <c r="F34" i="16"/>
  <c r="F31" i="16"/>
  <c r="E32" i="16"/>
  <c r="E33" i="16"/>
  <c r="E34" i="16"/>
  <c r="E31" i="16"/>
  <c r="H200" i="3"/>
  <c r="H197" i="3"/>
  <c r="H194" i="3"/>
  <c r="H193" i="3"/>
  <c r="H192" i="3"/>
  <c r="H191" i="3"/>
  <c r="H186" i="3"/>
  <c r="H183" i="3"/>
  <c r="H180" i="3"/>
  <c r="H179" i="3"/>
  <c r="H178" i="3"/>
  <c r="H177" i="3"/>
  <c r="H172" i="3"/>
  <c r="H169" i="3"/>
  <c r="H166" i="3"/>
  <c r="H165" i="3"/>
  <c r="H164" i="3"/>
  <c r="H163" i="3"/>
  <c r="H158" i="3"/>
  <c r="H155" i="3"/>
  <c r="H152" i="3"/>
  <c r="H151" i="3"/>
  <c r="H150" i="3"/>
  <c r="H149" i="3"/>
  <c r="H144" i="3"/>
  <c r="H141" i="3"/>
  <c r="H138" i="3"/>
  <c r="H137" i="3"/>
  <c r="H136" i="3"/>
  <c r="H135" i="3"/>
  <c r="H130" i="3"/>
  <c r="H127" i="3"/>
  <c r="H124" i="3"/>
  <c r="H123" i="3"/>
  <c r="H122" i="3"/>
  <c r="H121" i="3"/>
  <c r="H116" i="3"/>
  <c r="H113" i="3"/>
  <c r="H110" i="3"/>
  <c r="H109" i="3"/>
  <c r="H108" i="3"/>
  <c r="H107" i="3"/>
  <c r="H102" i="3"/>
  <c r="H101" i="3"/>
  <c r="H99" i="3"/>
  <c r="H96" i="3"/>
  <c r="H95" i="3"/>
  <c r="H94" i="3"/>
  <c r="H93" i="3"/>
  <c r="H88" i="3"/>
  <c r="H87" i="3"/>
  <c r="H85" i="3"/>
  <c r="H82" i="3"/>
  <c r="H81" i="3"/>
  <c r="H80" i="3"/>
  <c r="H79" i="3"/>
  <c r="H74" i="3"/>
  <c r="H73" i="3"/>
  <c r="H71" i="3"/>
  <c r="H68" i="3"/>
  <c r="H67" i="3"/>
  <c r="H66" i="3"/>
  <c r="H65" i="3"/>
  <c r="H60" i="3"/>
  <c r="H59" i="3"/>
  <c r="H57" i="3"/>
  <c r="H54" i="3"/>
  <c r="H53" i="3"/>
  <c r="H52" i="3"/>
  <c r="H51" i="3"/>
  <c r="H46" i="3"/>
  <c r="H45" i="3"/>
  <c r="H43" i="3"/>
  <c r="H40" i="3"/>
  <c r="H39" i="3"/>
  <c r="H38" i="3"/>
  <c r="H37" i="3"/>
  <c r="H32" i="3"/>
  <c r="H31" i="3"/>
  <c r="H29" i="3"/>
  <c r="H26" i="3"/>
  <c r="H25" i="3"/>
  <c r="H24" i="3"/>
  <c r="H23" i="3"/>
  <c r="H18" i="3"/>
  <c r="H17" i="3"/>
  <c r="H15" i="3"/>
  <c r="H12" i="3"/>
  <c r="H11" i="3"/>
  <c r="H10" i="3"/>
  <c r="H9" i="3"/>
  <c r="H4" i="3"/>
  <c r="H3" i="3"/>
  <c r="F2" i="3"/>
  <c r="H2" i="3" s="1"/>
  <c r="F3" i="3"/>
  <c r="F4" i="3"/>
  <c r="F5" i="3"/>
  <c r="H5" i="3" s="1"/>
  <c r="F6" i="3"/>
  <c r="H6" i="3" s="1"/>
  <c r="F7" i="3"/>
  <c r="H7" i="3" s="1"/>
  <c r="F8" i="3"/>
  <c r="H8" i="3" s="1"/>
  <c r="F9" i="3"/>
  <c r="F10" i="3"/>
  <c r="F11" i="3"/>
  <c r="F12" i="3"/>
  <c r="F13" i="3"/>
  <c r="H13" i="3" s="1"/>
  <c r="F14" i="3"/>
  <c r="H14" i="3" s="1"/>
  <c r="F15" i="3"/>
  <c r="F16" i="3"/>
  <c r="H16" i="3" s="1"/>
  <c r="F17" i="3"/>
  <c r="F18" i="3"/>
  <c r="F19" i="3"/>
  <c r="H19" i="3" s="1"/>
  <c r="F20" i="3"/>
  <c r="H20" i="3" s="1"/>
  <c r="F21" i="3"/>
  <c r="H21" i="3" s="1"/>
  <c r="F22" i="3"/>
  <c r="H22" i="3" s="1"/>
  <c r="F23" i="3"/>
  <c r="F24" i="3"/>
  <c r="F25" i="3"/>
  <c r="F26" i="3"/>
  <c r="F27" i="3"/>
  <c r="H27" i="3" s="1"/>
  <c r="F28" i="3"/>
  <c r="H28" i="3" s="1"/>
  <c r="F29" i="3"/>
  <c r="F30" i="3"/>
  <c r="H30" i="3" s="1"/>
  <c r="F31" i="3"/>
  <c r="F32" i="3"/>
  <c r="F33" i="3"/>
  <c r="H33" i="3" s="1"/>
  <c r="F34" i="3"/>
  <c r="H34" i="3" s="1"/>
  <c r="F35" i="3"/>
  <c r="H35" i="3" s="1"/>
  <c r="F36" i="3"/>
  <c r="H36" i="3" s="1"/>
  <c r="F37" i="3"/>
  <c r="F38" i="3"/>
  <c r="F39" i="3"/>
  <c r="F40" i="3"/>
  <c r="F41" i="3"/>
  <c r="H41" i="3" s="1"/>
  <c r="F42" i="3"/>
  <c r="H42" i="3" s="1"/>
  <c r="F43" i="3"/>
  <c r="F44" i="3"/>
  <c r="H44" i="3" s="1"/>
  <c r="F45" i="3"/>
  <c r="F46" i="3"/>
  <c r="F47" i="3"/>
  <c r="H47" i="3" s="1"/>
  <c r="F48" i="3"/>
  <c r="H48" i="3" s="1"/>
  <c r="F49" i="3"/>
  <c r="H49" i="3" s="1"/>
  <c r="F50" i="3"/>
  <c r="H50" i="3" s="1"/>
  <c r="F51" i="3"/>
  <c r="F52" i="3"/>
  <c r="F53" i="3"/>
  <c r="F54" i="3"/>
  <c r="F55" i="3"/>
  <c r="H55" i="3" s="1"/>
  <c r="F56" i="3"/>
  <c r="H56" i="3" s="1"/>
  <c r="F57" i="3"/>
  <c r="F58" i="3"/>
  <c r="H58" i="3" s="1"/>
  <c r="F59" i="3"/>
  <c r="F60" i="3"/>
  <c r="F61" i="3"/>
  <c r="H61" i="3" s="1"/>
  <c r="F62" i="3"/>
  <c r="H62" i="3" s="1"/>
  <c r="F63" i="3"/>
  <c r="H63" i="3" s="1"/>
  <c r="F64" i="3"/>
  <c r="H64" i="3" s="1"/>
  <c r="F65" i="3"/>
  <c r="F66" i="3"/>
  <c r="F67" i="3"/>
  <c r="F68" i="3"/>
  <c r="F69" i="3"/>
  <c r="H69" i="3" s="1"/>
  <c r="F70" i="3"/>
  <c r="H70" i="3" s="1"/>
  <c r="F71" i="3"/>
  <c r="F72" i="3"/>
  <c r="H72" i="3" s="1"/>
  <c r="F73" i="3"/>
  <c r="F74" i="3"/>
  <c r="F75" i="3"/>
  <c r="H75" i="3" s="1"/>
  <c r="F76" i="3"/>
  <c r="H76" i="3" s="1"/>
  <c r="F77" i="3"/>
  <c r="H77" i="3" s="1"/>
  <c r="F78" i="3"/>
  <c r="H78" i="3" s="1"/>
  <c r="F79" i="3"/>
  <c r="F80" i="3"/>
  <c r="F81" i="3"/>
  <c r="F82" i="3"/>
  <c r="F83" i="3"/>
  <c r="H83" i="3" s="1"/>
  <c r="F84" i="3"/>
  <c r="H84" i="3" s="1"/>
  <c r="F85" i="3"/>
  <c r="F86" i="3"/>
  <c r="H86" i="3" s="1"/>
  <c r="F87" i="3"/>
  <c r="F88" i="3"/>
  <c r="F89" i="3"/>
  <c r="H89" i="3" s="1"/>
  <c r="F90" i="3"/>
  <c r="H90" i="3" s="1"/>
  <c r="F91" i="3"/>
  <c r="H91" i="3" s="1"/>
  <c r="F92" i="3"/>
  <c r="H92" i="3" s="1"/>
  <c r="F93" i="3"/>
  <c r="F94" i="3"/>
  <c r="F95" i="3"/>
  <c r="F96" i="3"/>
  <c r="F97" i="3"/>
  <c r="H97" i="3" s="1"/>
  <c r="F98" i="3"/>
  <c r="H98" i="3" s="1"/>
  <c r="F99" i="3"/>
  <c r="F100" i="3"/>
  <c r="H100" i="3" s="1"/>
  <c r="F101" i="3"/>
  <c r="F102" i="3"/>
  <c r="F103" i="3"/>
  <c r="H103" i="3" s="1"/>
  <c r="F104" i="3"/>
  <c r="H104" i="3" s="1"/>
  <c r="F105" i="3"/>
  <c r="H105" i="3" s="1"/>
  <c r="F106" i="3"/>
  <c r="H106" i="3" s="1"/>
  <c r="F107" i="3"/>
  <c r="F108" i="3"/>
  <c r="F109" i="3"/>
  <c r="F110" i="3"/>
  <c r="F111" i="3"/>
  <c r="H111" i="3" s="1"/>
  <c r="F112" i="3"/>
  <c r="H112" i="3" s="1"/>
  <c r="F113" i="3"/>
  <c r="F114" i="3"/>
  <c r="H114" i="3" s="1"/>
  <c r="F115" i="3"/>
  <c r="H115" i="3" s="1"/>
  <c r="F116" i="3"/>
  <c r="F117" i="3"/>
  <c r="H117" i="3" s="1"/>
  <c r="F118" i="3"/>
  <c r="H118" i="3" s="1"/>
  <c r="F119" i="3"/>
  <c r="H119" i="3" s="1"/>
  <c r="F120" i="3"/>
  <c r="H120" i="3" s="1"/>
  <c r="F121" i="3"/>
  <c r="F122" i="3"/>
  <c r="F123" i="3"/>
  <c r="F124" i="3"/>
  <c r="F125" i="3"/>
  <c r="H125" i="3" s="1"/>
  <c r="F126" i="3"/>
  <c r="H126" i="3" s="1"/>
  <c r="F127" i="3"/>
  <c r="F128" i="3"/>
  <c r="H128" i="3" s="1"/>
  <c r="F129" i="3"/>
  <c r="H129" i="3" s="1"/>
  <c r="F130" i="3"/>
  <c r="F131" i="3"/>
  <c r="H131" i="3" s="1"/>
  <c r="F132" i="3"/>
  <c r="H132" i="3" s="1"/>
  <c r="F133" i="3"/>
  <c r="H133" i="3" s="1"/>
  <c r="F134" i="3"/>
  <c r="H134" i="3" s="1"/>
  <c r="F135" i="3"/>
  <c r="F136" i="3"/>
  <c r="F137" i="3"/>
  <c r="F138" i="3"/>
  <c r="F139" i="3"/>
  <c r="H139" i="3" s="1"/>
  <c r="F140" i="3"/>
  <c r="H140" i="3" s="1"/>
  <c r="F141" i="3"/>
  <c r="F142" i="3"/>
  <c r="H142" i="3" s="1"/>
  <c r="F143" i="3"/>
  <c r="H143" i="3" s="1"/>
  <c r="F144" i="3"/>
  <c r="F145" i="3"/>
  <c r="H145" i="3" s="1"/>
  <c r="F146" i="3"/>
  <c r="H146" i="3" s="1"/>
  <c r="F147" i="3"/>
  <c r="H147" i="3" s="1"/>
  <c r="F148" i="3"/>
  <c r="H148" i="3" s="1"/>
  <c r="F149" i="3"/>
  <c r="F150" i="3"/>
  <c r="F151" i="3"/>
  <c r="F152" i="3"/>
  <c r="F153" i="3"/>
  <c r="H153" i="3" s="1"/>
  <c r="F154" i="3"/>
  <c r="H154" i="3" s="1"/>
  <c r="F155" i="3"/>
  <c r="F156" i="3"/>
  <c r="H156" i="3" s="1"/>
  <c r="F157" i="3"/>
  <c r="H157" i="3" s="1"/>
  <c r="F158" i="3"/>
  <c r="F159" i="3"/>
  <c r="H159" i="3" s="1"/>
  <c r="F160" i="3"/>
  <c r="H160" i="3" s="1"/>
  <c r="F161" i="3"/>
  <c r="H161" i="3" s="1"/>
  <c r="F162" i="3"/>
  <c r="H162" i="3" s="1"/>
  <c r="F163" i="3"/>
  <c r="F164" i="3"/>
  <c r="F165" i="3"/>
  <c r="F166" i="3"/>
  <c r="F167" i="3"/>
  <c r="H167" i="3" s="1"/>
  <c r="F168" i="3"/>
  <c r="H168" i="3" s="1"/>
  <c r="F169" i="3"/>
  <c r="F170" i="3"/>
  <c r="H170" i="3" s="1"/>
  <c r="F171" i="3"/>
  <c r="H171" i="3" s="1"/>
  <c r="F172" i="3"/>
  <c r="F173" i="3"/>
  <c r="H173" i="3" s="1"/>
  <c r="F174" i="3"/>
  <c r="H174" i="3" s="1"/>
  <c r="F175" i="3"/>
  <c r="H175" i="3" s="1"/>
  <c r="F176" i="3"/>
  <c r="H176" i="3" s="1"/>
  <c r="F177" i="3"/>
  <c r="F178" i="3"/>
  <c r="F179" i="3"/>
  <c r="F180" i="3"/>
  <c r="F181" i="3"/>
  <c r="H181" i="3" s="1"/>
  <c r="F182" i="3"/>
  <c r="H182" i="3" s="1"/>
  <c r="F183" i="3"/>
  <c r="F184" i="3"/>
  <c r="H184" i="3" s="1"/>
  <c r="F185" i="3"/>
  <c r="H185" i="3" s="1"/>
  <c r="F186" i="3"/>
  <c r="F187" i="3"/>
  <c r="H187" i="3" s="1"/>
  <c r="F188" i="3"/>
  <c r="H188" i="3" s="1"/>
  <c r="F189" i="3"/>
  <c r="H189" i="3" s="1"/>
  <c r="F190" i="3"/>
  <c r="H190" i="3" s="1"/>
  <c r="F191" i="3"/>
  <c r="F192" i="3"/>
  <c r="F193" i="3"/>
  <c r="F194" i="3"/>
  <c r="F195" i="3"/>
  <c r="H195" i="3" s="1"/>
  <c r="F196" i="3"/>
  <c r="H196" i="3" s="1"/>
  <c r="F197" i="3"/>
  <c r="F198" i="3"/>
  <c r="H198" i="3" s="1"/>
  <c r="F199" i="3"/>
  <c r="H199" i="3" s="1"/>
  <c r="F200" i="3"/>
  <c r="F201" i="3"/>
  <c r="H201" i="3" s="1"/>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K2" i="4"/>
  <c r="K8" i="4"/>
  <c r="K14" i="4"/>
  <c r="K21" i="4"/>
  <c r="K22" i="4"/>
  <c r="K30" i="4"/>
  <c r="K36" i="4"/>
  <c r="K42" i="4"/>
  <c r="K49" i="4"/>
  <c r="K50" i="4"/>
  <c r="K58" i="4"/>
  <c r="K64" i="4"/>
  <c r="K70" i="4"/>
  <c r="K77" i="4"/>
  <c r="K78" i="4"/>
  <c r="K86" i="4"/>
  <c r="K92" i="4"/>
  <c r="K98" i="4"/>
  <c r="K105" i="4"/>
  <c r="K106" i="4"/>
  <c r="K114" i="4"/>
  <c r="K120" i="4"/>
  <c r="K126" i="4"/>
  <c r="K133" i="4"/>
  <c r="K134" i="4"/>
  <c r="K142" i="4"/>
  <c r="K148" i="4"/>
  <c r="K154" i="4"/>
  <c r="K161" i="4"/>
  <c r="K162" i="4"/>
  <c r="K170" i="4"/>
  <c r="K176" i="4"/>
  <c r="K182" i="4"/>
  <c r="K189" i="4"/>
  <c r="K190" i="4"/>
  <c r="K198" i="4"/>
  <c r="K204" i="4"/>
  <c r="K210" i="4"/>
  <c r="K217" i="4"/>
  <c r="K218" i="4"/>
  <c r="K226" i="4"/>
  <c r="K232" i="4"/>
  <c r="K238" i="4"/>
  <c r="K245" i="4"/>
  <c r="K246" i="4"/>
  <c r="K254" i="4"/>
  <c r="K260" i="4"/>
  <c r="K266" i="4"/>
  <c r="K273" i="4"/>
  <c r="K274" i="4"/>
  <c r="K282" i="4"/>
  <c r="K288" i="4"/>
  <c r="K294" i="4"/>
  <c r="K301" i="4"/>
  <c r="K302" i="4"/>
  <c r="K310" i="4"/>
  <c r="K316" i="4"/>
  <c r="K322" i="4"/>
  <c r="K329" i="4"/>
  <c r="K330" i="4"/>
  <c r="K338" i="4"/>
  <c r="J2" i="4"/>
  <c r="J3" i="4"/>
  <c r="K3" i="4" s="1"/>
  <c r="J4" i="4"/>
  <c r="K4" i="4" s="1"/>
  <c r="J5" i="4"/>
  <c r="K5" i="4" s="1"/>
  <c r="J6" i="4"/>
  <c r="K6" i="4" s="1"/>
  <c r="J7" i="4"/>
  <c r="K7" i="4" s="1"/>
  <c r="J8" i="4"/>
  <c r="J9" i="4"/>
  <c r="K9" i="4" s="1"/>
  <c r="J10" i="4"/>
  <c r="K10" i="4" s="1"/>
  <c r="J11" i="4"/>
  <c r="K11" i="4" s="1"/>
  <c r="J12" i="4"/>
  <c r="K12" i="4" s="1"/>
  <c r="J13" i="4"/>
  <c r="K13" i="4" s="1"/>
  <c r="J14" i="4"/>
  <c r="J15" i="4"/>
  <c r="K15" i="4" s="1"/>
  <c r="J16" i="4"/>
  <c r="K16" i="4" s="1"/>
  <c r="J17" i="4"/>
  <c r="K17" i="4" s="1"/>
  <c r="J18" i="4"/>
  <c r="K18" i="4" s="1"/>
  <c r="J19" i="4"/>
  <c r="K19" i="4" s="1"/>
  <c r="J20" i="4"/>
  <c r="K20" i="4" s="1"/>
  <c r="J21" i="4"/>
  <c r="J22" i="4"/>
  <c r="J23" i="4"/>
  <c r="K23" i="4" s="1"/>
  <c r="J24" i="4"/>
  <c r="K24" i="4" s="1"/>
  <c r="J25" i="4"/>
  <c r="K25" i="4" s="1"/>
  <c r="J26" i="4"/>
  <c r="K26" i="4" s="1"/>
  <c r="J27" i="4"/>
  <c r="K27" i="4" s="1"/>
  <c r="J28" i="4"/>
  <c r="K28" i="4" s="1"/>
  <c r="J29" i="4"/>
  <c r="K29" i="4" s="1"/>
  <c r="J30" i="4"/>
  <c r="J31" i="4"/>
  <c r="K31" i="4" s="1"/>
  <c r="J32" i="4"/>
  <c r="K32" i="4" s="1"/>
  <c r="J33" i="4"/>
  <c r="K33" i="4" s="1"/>
  <c r="J34" i="4"/>
  <c r="K34" i="4" s="1"/>
  <c r="J35" i="4"/>
  <c r="K35" i="4" s="1"/>
  <c r="J36" i="4"/>
  <c r="J37" i="4"/>
  <c r="K37" i="4" s="1"/>
  <c r="J38" i="4"/>
  <c r="K38" i="4" s="1"/>
  <c r="J39" i="4"/>
  <c r="K39" i="4" s="1"/>
  <c r="J40" i="4"/>
  <c r="K40" i="4" s="1"/>
  <c r="J41" i="4"/>
  <c r="K41" i="4" s="1"/>
  <c r="J42" i="4"/>
  <c r="J43" i="4"/>
  <c r="K43" i="4" s="1"/>
  <c r="J44" i="4"/>
  <c r="K44" i="4" s="1"/>
  <c r="J45" i="4"/>
  <c r="K45" i="4" s="1"/>
  <c r="J46" i="4"/>
  <c r="K46" i="4" s="1"/>
  <c r="J47" i="4"/>
  <c r="K47" i="4" s="1"/>
  <c r="J48" i="4"/>
  <c r="K48" i="4" s="1"/>
  <c r="J49" i="4"/>
  <c r="J50" i="4"/>
  <c r="J51" i="4"/>
  <c r="K51" i="4" s="1"/>
  <c r="J52" i="4"/>
  <c r="K52" i="4" s="1"/>
  <c r="J53" i="4"/>
  <c r="K53" i="4" s="1"/>
  <c r="J54" i="4"/>
  <c r="K54" i="4" s="1"/>
  <c r="J55" i="4"/>
  <c r="K55" i="4" s="1"/>
  <c r="J56" i="4"/>
  <c r="K56" i="4" s="1"/>
  <c r="J57" i="4"/>
  <c r="K57" i="4" s="1"/>
  <c r="J58" i="4"/>
  <c r="J59" i="4"/>
  <c r="K59" i="4" s="1"/>
  <c r="J60" i="4"/>
  <c r="K60" i="4" s="1"/>
  <c r="J61" i="4"/>
  <c r="K61" i="4" s="1"/>
  <c r="J62" i="4"/>
  <c r="K62" i="4" s="1"/>
  <c r="J63" i="4"/>
  <c r="K63" i="4" s="1"/>
  <c r="J64" i="4"/>
  <c r="J65" i="4"/>
  <c r="K65" i="4" s="1"/>
  <c r="J66" i="4"/>
  <c r="K66" i="4" s="1"/>
  <c r="J67" i="4"/>
  <c r="K67" i="4" s="1"/>
  <c r="J68" i="4"/>
  <c r="K68" i="4" s="1"/>
  <c r="J69" i="4"/>
  <c r="K69" i="4" s="1"/>
  <c r="J70" i="4"/>
  <c r="J71" i="4"/>
  <c r="K71" i="4" s="1"/>
  <c r="J72" i="4"/>
  <c r="K72" i="4" s="1"/>
  <c r="J73" i="4"/>
  <c r="K73" i="4" s="1"/>
  <c r="J74" i="4"/>
  <c r="K74" i="4" s="1"/>
  <c r="J75" i="4"/>
  <c r="K75" i="4" s="1"/>
  <c r="J76" i="4"/>
  <c r="K76" i="4" s="1"/>
  <c r="J77" i="4"/>
  <c r="J78" i="4"/>
  <c r="J79" i="4"/>
  <c r="K79" i="4" s="1"/>
  <c r="J80" i="4"/>
  <c r="K80" i="4" s="1"/>
  <c r="J81" i="4"/>
  <c r="K81" i="4" s="1"/>
  <c r="J82" i="4"/>
  <c r="K82" i="4" s="1"/>
  <c r="J83" i="4"/>
  <c r="K83" i="4" s="1"/>
  <c r="J84" i="4"/>
  <c r="K84" i="4" s="1"/>
  <c r="J85" i="4"/>
  <c r="K85" i="4" s="1"/>
  <c r="J86" i="4"/>
  <c r="J87" i="4"/>
  <c r="K87" i="4" s="1"/>
  <c r="J88" i="4"/>
  <c r="K88" i="4" s="1"/>
  <c r="J89" i="4"/>
  <c r="K89" i="4" s="1"/>
  <c r="J90" i="4"/>
  <c r="K90" i="4" s="1"/>
  <c r="J91" i="4"/>
  <c r="K91" i="4" s="1"/>
  <c r="J92" i="4"/>
  <c r="J93" i="4"/>
  <c r="K93" i="4" s="1"/>
  <c r="J94" i="4"/>
  <c r="K94" i="4" s="1"/>
  <c r="J95" i="4"/>
  <c r="K95" i="4" s="1"/>
  <c r="J96" i="4"/>
  <c r="K96" i="4" s="1"/>
  <c r="J97" i="4"/>
  <c r="K97" i="4" s="1"/>
  <c r="J98" i="4"/>
  <c r="J99" i="4"/>
  <c r="K99" i="4" s="1"/>
  <c r="J100" i="4"/>
  <c r="K100" i="4" s="1"/>
  <c r="J101" i="4"/>
  <c r="K101" i="4" s="1"/>
  <c r="J102" i="4"/>
  <c r="K102" i="4" s="1"/>
  <c r="J103" i="4"/>
  <c r="K103" i="4" s="1"/>
  <c r="J104" i="4"/>
  <c r="K104" i="4" s="1"/>
  <c r="J105" i="4"/>
  <c r="J106" i="4"/>
  <c r="J107" i="4"/>
  <c r="K107" i="4" s="1"/>
  <c r="J108" i="4"/>
  <c r="K108" i="4" s="1"/>
  <c r="J109" i="4"/>
  <c r="K109" i="4" s="1"/>
  <c r="J110" i="4"/>
  <c r="K110" i="4" s="1"/>
  <c r="J111" i="4"/>
  <c r="K111" i="4" s="1"/>
  <c r="J112" i="4"/>
  <c r="K112" i="4" s="1"/>
  <c r="J113" i="4"/>
  <c r="K113" i="4" s="1"/>
  <c r="J114" i="4"/>
  <c r="J115" i="4"/>
  <c r="K115" i="4" s="1"/>
  <c r="J116" i="4"/>
  <c r="K116" i="4" s="1"/>
  <c r="J117" i="4"/>
  <c r="K117" i="4" s="1"/>
  <c r="J118" i="4"/>
  <c r="K118" i="4" s="1"/>
  <c r="J119" i="4"/>
  <c r="K119" i="4" s="1"/>
  <c r="J120" i="4"/>
  <c r="J121" i="4"/>
  <c r="K121" i="4" s="1"/>
  <c r="J122" i="4"/>
  <c r="K122" i="4" s="1"/>
  <c r="J123" i="4"/>
  <c r="K123" i="4" s="1"/>
  <c r="J124" i="4"/>
  <c r="K124" i="4" s="1"/>
  <c r="J125" i="4"/>
  <c r="K125" i="4" s="1"/>
  <c r="J126" i="4"/>
  <c r="J127" i="4"/>
  <c r="K127" i="4" s="1"/>
  <c r="J128" i="4"/>
  <c r="K128" i="4" s="1"/>
  <c r="J129" i="4"/>
  <c r="K129" i="4" s="1"/>
  <c r="J130" i="4"/>
  <c r="K130" i="4" s="1"/>
  <c r="J131" i="4"/>
  <c r="K131" i="4" s="1"/>
  <c r="J132" i="4"/>
  <c r="K132" i="4" s="1"/>
  <c r="J133" i="4"/>
  <c r="J134" i="4"/>
  <c r="J135" i="4"/>
  <c r="K135" i="4" s="1"/>
  <c r="J136" i="4"/>
  <c r="K136" i="4" s="1"/>
  <c r="J137" i="4"/>
  <c r="K137" i="4" s="1"/>
  <c r="J138" i="4"/>
  <c r="K138" i="4" s="1"/>
  <c r="J139" i="4"/>
  <c r="K139" i="4" s="1"/>
  <c r="J140" i="4"/>
  <c r="K140" i="4" s="1"/>
  <c r="J141" i="4"/>
  <c r="K141" i="4" s="1"/>
  <c r="J142" i="4"/>
  <c r="J143" i="4"/>
  <c r="K143" i="4" s="1"/>
  <c r="J144" i="4"/>
  <c r="K144" i="4" s="1"/>
  <c r="J145" i="4"/>
  <c r="K145" i="4" s="1"/>
  <c r="J146" i="4"/>
  <c r="K146" i="4" s="1"/>
  <c r="J147" i="4"/>
  <c r="K147" i="4" s="1"/>
  <c r="J148" i="4"/>
  <c r="J149" i="4"/>
  <c r="K149" i="4" s="1"/>
  <c r="J150" i="4"/>
  <c r="K150" i="4" s="1"/>
  <c r="J151" i="4"/>
  <c r="K151" i="4" s="1"/>
  <c r="J152" i="4"/>
  <c r="K152" i="4" s="1"/>
  <c r="J153" i="4"/>
  <c r="K153" i="4" s="1"/>
  <c r="J154" i="4"/>
  <c r="J155" i="4"/>
  <c r="K155" i="4" s="1"/>
  <c r="J156" i="4"/>
  <c r="K156" i="4" s="1"/>
  <c r="J157" i="4"/>
  <c r="K157" i="4" s="1"/>
  <c r="J158" i="4"/>
  <c r="K158" i="4" s="1"/>
  <c r="J159" i="4"/>
  <c r="K159" i="4" s="1"/>
  <c r="J160" i="4"/>
  <c r="K160" i="4" s="1"/>
  <c r="J161" i="4"/>
  <c r="J162" i="4"/>
  <c r="J163" i="4"/>
  <c r="K163" i="4" s="1"/>
  <c r="J164" i="4"/>
  <c r="K164" i="4" s="1"/>
  <c r="J165" i="4"/>
  <c r="K165" i="4" s="1"/>
  <c r="J166" i="4"/>
  <c r="K166" i="4" s="1"/>
  <c r="J167" i="4"/>
  <c r="K167" i="4" s="1"/>
  <c r="J168" i="4"/>
  <c r="K168" i="4" s="1"/>
  <c r="J169" i="4"/>
  <c r="K169" i="4" s="1"/>
  <c r="J170" i="4"/>
  <c r="J171" i="4"/>
  <c r="K171" i="4" s="1"/>
  <c r="J172" i="4"/>
  <c r="K172" i="4" s="1"/>
  <c r="J173" i="4"/>
  <c r="K173" i="4" s="1"/>
  <c r="J174" i="4"/>
  <c r="K174" i="4" s="1"/>
  <c r="J175" i="4"/>
  <c r="K175" i="4" s="1"/>
  <c r="J176" i="4"/>
  <c r="J177" i="4"/>
  <c r="K177" i="4" s="1"/>
  <c r="J178" i="4"/>
  <c r="K178" i="4" s="1"/>
  <c r="J179" i="4"/>
  <c r="K179" i="4" s="1"/>
  <c r="J180" i="4"/>
  <c r="K180" i="4" s="1"/>
  <c r="J181" i="4"/>
  <c r="K181" i="4" s="1"/>
  <c r="J182" i="4"/>
  <c r="J183" i="4"/>
  <c r="K183" i="4" s="1"/>
  <c r="J184" i="4"/>
  <c r="K184" i="4" s="1"/>
  <c r="J185" i="4"/>
  <c r="K185" i="4" s="1"/>
  <c r="J186" i="4"/>
  <c r="K186" i="4" s="1"/>
  <c r="J187" i="4"/>
  <c r="K187" i="4" s="1"/>
  <c r="J188" i="4"/>
  <c r="K188" i="4" s="1"/>
  <c r="J189" i="4"/>
  <c r="J190" i="4"/>
  <c r="J191" i="4"/>
  <c r="K191" i="4" s="1"/>
  <c r="J192" i="4"/>
  <c r="K192" i="4" s="1"/>
  <c r="J193" i="4"/>
  <c r="K193" i="4" s="1"/>
  <c r="J194" i="4"/>
  <c r="K194" i="4" s="1"/>
  <c r="J195" i="4"/>
  <c r="K195" i="4" s="1"/>
  <c r="J196" i="4"/>
  <c r="K196" i="4" s="1"/>
  <c r="J197" i="4"/>
  <c r="K197" i="4" s="1"/>
  <c r="J198" i="4"/>
  <c r="J199" i="4"/>
  <c r="K199" i="4" s="1"/>
  <c r="J200" i="4"/>
  <c r="K200" i="4" s="1"/>
  <c r="J201" i="4"/>
  <c r="K201" i="4" s="1"/>
  <c r="J202" i="4"/>
  <c r="K202" i="4" s="1"/>
  <c r="J203" i="4"/>
  <c r="K203" i="4" s="1"/>
  <c r="J204" i="4"/>
  <c r="J205" i="4"/>
  <c r="K205" i="4" s="1"/>
  <c r="J206" i="4"/>
  <c r="K206" i="4" s="1"/>
  <c r="J207" i="4"/>
  <c r="K207" i="4" s="1"/>
  <c r="J208" i="4"/>
  <c r="K208" i="4" s="1"/>
  <c r="J209" i="4"/>
  <c r="K209" i="4" s="1"/>
  <c r="J210" i="4"/>
  <c r="J211" i="4"/>
  <c r="K211" i="4" s="1"/>
  <c r="J212" i="4"/>
  <c r="K212" i="4" s="1"/>
  <c r="J213" i="4"/>
  <c r="K213" i="4" s="1"/>
  <c r="J214" i="4"/>
  <c r="K214" i="4" s="1"/>
  <c r="J215" i="4"/>
  <c r="K215" i="4" s="1"/>
  <c r="J216" i="4"/>
  <c r="K216" i="4" s="1"/>
  <c r="J217" i="4"/>
  <c r="J218" i="4"/>
  <c r="J219" i="4"/>
  <c r="K219" i="4" s="1"/>
  <c r="J220" i="4"/>
  <c r="K220" i="4" s="1"/>
  <c r="J221" i="4"/>
  <c r="K221" i="4" s="1"/>
  <c r="J222" i="4"/>
  <c r="K222" i="4" s="1"/>
  <c r="J223" i="4"/>
  <c r="K223" i="4" s="1"/>
  <c r="J224" i="4"/>
  <c r="K224" i="4" s="1"/>
  <c r="J225" i="4"/>
  <c r="K225" i="4" s="1"/>
  <c r="J226" i="4"/>
  <c r="J227" i="4"/>
  <c r="K227" i="4" s="1"/>
  <c r="J228" i="4"/>
  <c r="K228" i="4" s="1"/>
  <c r="J229" i="4"/>
  <c r="K229" i="4" s="1"/>
  <c r="J230" i="4"/>
  <c r="K230" i="4" s="1"/>
  <c r="J231" i="4"/>
  <c r="K231" i="4" s="1"/>
  <c r="J232" i="4"/>
  <c r="J233" i="4"/>
  <c r="K233" i="4" s="1"/>
  <c r="J234" i="4"/>
  <c r="K234" i="4" s="1"/>
  <c r="J235" i="4"/>
  <c r="K235" i="4" s="1"/>
  <c r="J236" i="4"/>
  <c r="K236" i="4" s="1"/>
  <c r="J237" i="4"/>
  <c r="K237" i="4" s="1"/>
  <c r="J238" i="4"/>
  <c r="J239" i="4"/>
  <c r="K239" i="4" s="1"/>
  <c r="J240" i="4"/>
  <c r="K240" i="4" s="1"/>
  <c r="J241" i="4"/>
  <c r="K241" i="4" s="1"/>
  <c r="J242" i="4"/>
  <c r="K242" i="4" s="1"/>
  <c r="J243" i="4"/>
  <c r="K243" i="4" s="1"/>
  <c r="J244" i="4"/>
  <c r="K244" i="4" s="1"/>
  <c r="J245" i="4"/>
  <c r="J246" i="4"/>
  <c r="J247" i="4"/>
  <c r="K247" i="4" s="1"/>
  <c r="J248" i="4"/>
  <c r="K248" i="4" s="1"/>
  <c r="J249" i="4"/>
  <c r="K249" i="4" s="1"/>
  <c r="J250" i="4"/>
  <c r="K250" i="4" s="1"/>
  <c r="J251" i="4"/>
  <c r="K251" i="4" s="1"/>
  <c r="J252" i="4"/>
  <c r="K252" i="4" s="1"/>
  <c r="J253" i="4"/>
  <c r="K253" i="4" s="1"/>
  <c r="J254" i="4"/>
  <c r="J255" i="4"/>
  <c r="K255" i="4" s="1"/>
  <c r="J256" i="4"/>
  <c r="K256" i="4" s="1"/>
  <c r="J257" i="4"/>
  <c r="K257" i="4" s="1"/>
  <c r="J258" i="4"/>
  <c r="K258" i="4" s="1"/>
  <c r="J259" i="4"/>
  <c r="K259" i="4" s="1"/>
  <c r="J260" i="4"/>
  <c r="J261" i="4"/>
  <c r="K261" i="4" s="1"/>
  <c r="J262" i="4"/>
  <c r="K262" i="4" s="1"/>
  <c r="J263" i="4"/>
  <c r="K263" i="4" s="1"/>
  <c r="J264" i="4"/>
  <c r="K264" i="4" s="1"/>
  <c r="J265" i="4"/>
  <c r="K265" i="4" s="1"/>
  <c r="J266" i="4"/>
  <c r="J267" i="4"/>
  <c r="K267" i="4" s="1"/>
  <c r="J268" i="4"/>
  <c r="K268" i="4" s="1"/>
  <c r="J269" i="4"/>
  <c r="K269" i="4" s="1"/>
  <c r="J270" i="4"/>
  <c r="K270" i="4" s="1"/>
  <c r="J271" i="4"/>
  <c r="K271" i="4" s="1"/>
  <c r="J272" i="4"/>
  <c r="K272" i="4" s="1"/>
  <c r="J273" i="4"/>
  <c r="J274" i="4"/>
  <c r="J275" i="4"/>
  <c r="K275" i="4" s="1"/>
  <c r="J276" i="4"/>
  <c r="K276" i="4" s="1"/>
  <c r="J277" i="4"/>
  <c r="K277" i="4" s="1"/>
  <c r="J278" i="4"/>
  <c r="K278" i="4" s="1"/>
  <c r="J279" i="4"/>
  <c r="K279" i="4" s="1"/>
  <c r="J280" i="4"/>
  <c r="K280" i="4" s="1"/>
  <c r="J281" i="4"/>
  <c r="K281" i="4" s="1"/>
  <c r="J282" i="4"/>
  <c r="J283" i="4"/>
  <c r="K283" i="4" s="1"/>
  <c r="J284" i="4"/>
  <c r="K284" i="4" s="1"/>
  <c r="J285" i="4"/>
  <c r="K285" i="4" s="1"/>
  <c r="J286" i="4"/>
  <c r="K286" i="4" s="1"/>
  <c r="J287" i="4"/>
  <c r="K287" i="4" s="1"/>
  <c r="J288" i="4"/>
  <c r="J289" i="4"/>
  <c r="K289" i="4" s="1"/>
  <c r="J290" i="4"/>
  <c r="K290" i="4" s="1"/>
  <c r="J291" i="4"/>
  <c r="K291" i="4" s="1"/>
  <c r="J292" i="4"/>
  <c r="K292" i="4" s="1"/>
  <c r="J293" i="4"/>
  <c r="K293" i="4" s="1"/>
  <c r="J294" i="4"/>
  <c r="J295" i="4"/>
  <c r="K295" i="4" s="1"/>
  <c r="J296" i="4"/>
  <c r="K296" i="4" s="1"/>
  <c r="J297" i="4"/>
  <c r="K297" i="4" s="1"/>
  <c r="J298" i="4"/>
  <c r="K298" i="4" s="1"/>
  <c r="J299" i="4"/>
  <c r="K299" i="4" s="1"/>
  <c r="J300" i="4"/>
  <c r="K300" i="4" s="1"/>
  <c r="J301" i="4"/>
  <c r="J302" i="4"/>
  <c r="J303" i="4"/>
  <c r="K303" i="4" s="1"/>
  <c r="J304" i="4"/>
  <c r="K304" i="4" s="1"/>
  <c r="J305" i="4"/>
  <c r="K305" i="4" s="1"/>
  <c r="J306" i="4"/>
  <c r="K306" i="4" s="1"/>
  <c r="J307" i="4"/>
  <c r="K307" i="4" s="1"/>
  <c r="J308" i="4"/>
  <c r="K308" i="4" s="1"/>
  <c r="J309" i="4"/>
  <c r="K309" i="4" s="1"/>
  <c r="J310" i="4"/>
  <c r="J311" i="4"/>
  <c r="K311" i="4" s="1"/>
  <c r="J312" i="4"/>
  <c r="K312" i="4" s="1"/>
  <c r="J313" i="4"/>
  <c r="K313" i="4" s="1"/>
  <c r="J314" i="4"/>
  <c r="K314" i="4" s="1"/>
  <c r="J315" i="4"/>
  <c r="K315" i="4" s="1"/>
  <c r="J316" i="4"/>
  <c r="J317" i="4"/>
  <c r="K317" i="4" s="1"/>
  <c r="J318" i="4"/>
  <c r="K318" i="4" s="1"/>
  <c r="J319" i="4"/>
  <c r="K319" i="4" s="1"/>
  <c r="J320" i="4"/>
  <c r="K320" i="4" s="1"/>
  <c r="J321" i="4"/>
  <c r="K321" i="4" s="1"/>
  <c r="J322" i="4"/>
  <c r="J323" i="4"/>
  <c r="K323" i="4" s="1"/>
  <c r="J324" i="4"/>
  <c r="K324" i="4" s="1"/>
  <c r="J325" i="4"/>
  <c r="K325" i="4" s="1"/>
  <c r="J326" i="4"/>
  <c r="K326" i="4" s="1"/>
  <c r="J327" i="4"/>
  <c r="K327" i="4" s="1"/>
  <c r="J328" i="4"/>
  <c r="K328" i="4" s="1"/>
  <c r="J329" i="4"/>
  <c r="J330" i="4"/>
  <c r="J331" i="4"/>
  <c r="K331" i="4" s="1"/>
  <c r="J332" i="4"/>
  <c r="K332" i="4" s="1"/>
  <c r="J333" i="4"/>
  <c r="K333" i="4" s="1"/>
  <c r="J334" i="4"/>
  <c r="K334" i="4" s="1"/>
  <c r="J335" i="4"/>
  <c r="K335" i="4" s="1"/>
  <c r="J336" i="4"/>
  <c r="K336" i="4" s="1"/>
  <c r="J337" i="4"/>
  <c r="K337" i="4" s="1"/>
  <c r="J338" i="4"/>
  <c r="J339" i="4"/>
  <c r="K339" i="4" s="1"/>
  <c r="J340" i="4"/>
  <c r="K340" i="4" s="1"/>
  <c r="G33" i="16" l="1"/>
  <c r="G31" i="16"/>
  <c r="G34" i="16"/>
  <c r="G3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3D9141-DDED-426C-86DF-26D680AB69A7}"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56CBBAAF-0051-4991-ADD2-C01B1DFD3897}"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3" xr16:uid="{07CEC869-1A05-4037-853C-C033B3917812}" keepAlive="1" name="Query - Posts" description="Connection to the 'Posts' query in the workbook." type="5" refreshedVersion="7" background="1" saveData="1">
    <dbPr connection="Provider=Microsoft.Mashup.OleDb.1;Data Source=$Workbook$;Location=Posts;Extended Properties=&quot;&quot;" command="SELECT * FROM [Posts]"/>
  </connection>
</connections>
</file>

<file path=xl/sharedStrings.xml><?xml version="1.0" encoding="utf-8"?>
<sst xmlns="http://schemas.openxmlformats.org/spreadsheetml/2006/main" count="2553" uniqueCount="450">
  <si>
    <t>Campaign_Name</t>
  </si>
  <si>
    <t>Start_Date</t>
  </si>
  <si>
    <t>End_Date</t>
  </si>
  <si>
    <t>Objective</t>
  </si>
  <si>
    <t>Total_Budget</t>
  </si>
  <si>
    <t>Target_Platforms</t>
  </si>
  <si>
    <t>Primary_Hashtags</t>
  </si>
  <si>
    <t>CybertruckLaunch</t>
  </si>
  <si>
    <t>Product Awareness</t>
  </si>
  <si>
    <t>Instagram,Facebook</t>
  </si>
  <si>
    <t>#EVRevolution,#TeslaCoInnovation</t>
  </si>
  <si>
    <t>ModelYCampaign</t>
  </si>
  <si>
    <t>Customer Engagement</t>
  </si>
  <si>
    <t>Instagram,YouTube</t>
  </si>
  <si>
    <t>#AnytimeIsTeslaTime,</t>
  </si>
  <si>
    <t>FSDUpdate</t>
  </si>
  <si>
    <t>Vehicle Launch</t>
  </si>
  <si>
    <t>Facebook,Twitter</t>
  </si>
  <si>
    <t>#SmoothLikeNitroTesla</t>
  </si>
  <si>
    <t>SustainabilityDrive</t>
  </si>
  <si>
    <t>Community Growth</t>
  </si>
  <si>
    <t>Instagram,Twitter</t>
  </si>
  <si>
    <t>#BetterWithTesla,#FutureOfDriving</t>
  </si>
  <si>
    <t>Week_Start_Date</t>
  </si>
  <si>
    <t>Platform</t>
  </si>
  <si>
    <t>New_Followers</t>
  </si>
  <si>
    <t>Unfollows</t>
  </si>
  <si>
    <t>Total_Followers</t>
  </si>
  <si>
    <t>Ad_Spend</t>
  </si>
  <si>
    <t>Instagram</t>
  </si>
  <si>
    <t>Facebook</t>
  </si>
  <si>
    <t>Twitter</t>
  </si>
  <si>
    <t>YouTube</t>
  </si>
  <si>
    <t>Post ID</t>
  </si>
  <si>
    <t>Date</t>
  </si>
  <si>
    <t>Content Type</t>
  </si>
  <si>
    <t>Post Text</t>
  </si>
  <si>
    <t>Likes</t>
  </si>
  <si>
    <t>Shares</t>
  </si>
  <si>
    <t>Comments</t>
  </si>
  <si>
    <t>Impressions</t>
  </si>
  <si>
    <t>Reach</t>
  </si>
  <si>
    <t>Clicks</t>
  </si>
  <si>
    <t>Hashtags Used</t>
  </si>
  <si>
    <t>P001</t>
  </si>
  <si>
    <t>Reel</t>
  </si>
  <si>
    <t>Check out our latest reel on twitter!</t>
  </si>
  <si>
    <t>#FutureOfDriving</t>
  </si>
  <si>
    <t>#AnytimeIsTeslaTime</t>
  </si>
  <si>
    <t>P002</t>
  </si>
  <si>
    <t>Text</t>
  </si>
  <si>
    <t>Check out our latest text on twitter!</t>
  </si>
  <si>
    <t>#TeslaCoInnovation</t>
  </si>
  <si>
    <t>#BetterWithTesla</t>
  </si>
  <si>
    <t>P003</t>
  </si>
  <si>
    <t>Check out our latest reel on youtube!</t>
  </si>
  <si>
    <t>P004</t>
  </si>
  <si>
    <t>Story</t>
  </si>
  <si>
    <t>Check out our latest story on instagram!</t>
  </si>
  <si>
    <t>#EVRevolution</t>
  </si>
  <si>
    <t>P005</t>
  </si>
  <si>
    <t>P006</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</si>
  <si>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</si>
  <si>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</si>
  <si>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</si>
  <si>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</si>
  <si>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</si>
  <si>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</si>
  <si>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</si>
  <si>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</si>
  <si>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</si>
  <si>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</si>
  <si>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</si>
  <si>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</si>
  <si>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</si>
  <si>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</si>
  <si>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</si>
  <si>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</si>
  <si>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</si>
  <si>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</si>
  <si>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NA</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</si>
  <si>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</si>
  <si>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</si>
  <si>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</si>
  <si>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</si>
  <si>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</si>
  <si>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</si>
  <si>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</si>
  <si>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</si>
  <si>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</si>
  <si>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</si>
  <si>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</si>
  <si>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</si>
  <si>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</si>
  <si>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</si>
  <si>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</si>
  <si>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</si>
  <si>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</si>
  <si>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</si>
  <si>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</si>
  <si>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</si>
  <si>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</si>
  <si>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</si>
  <si>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</si>
  <si>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</si>
  <si>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</si>
  <si>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</si>
  <si>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</si>
  <si>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</si>
  <si>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</si>
  <si>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</si>
  <si>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</si>
  <si>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</si>
  <si>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</si>
  <si>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</si>
  <si>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</si>
  <si>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</si>
  <si>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</si>
  <si>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</si>
  <si>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</si>
  <si>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</si>
  <si>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</si>
  <si>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</si>
  <si>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</si>
  <si>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</si>
  <si>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</si>
  <si>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</si>
  <si>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</si>
  <si>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</si>
  <si>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</si>
  <si>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</si>
  <si>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</si>
  <si>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</si>
  <si>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</si>
  <si>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</si>
  <si>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</si>
  <si>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</si>
  <si>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</si>
  <si>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</si>
  <si>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</si>
  <si>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</si>
  <si>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</si>
  <si>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</si>
  <si>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</si>
  <si>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</si>
  <si>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</si>
  <si>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</si>
  <si>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</si>
  <si>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</si>
  <si>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</si>
  <si>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</si>
  <si>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</si>
  <si>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</si>
  <si>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</si>
  <si>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</si>
  <si>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</si>
  <si>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</si>
  <si>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</si>
  <si>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</si>
  <si>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</si>
  <si>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</si>
  <si>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</si>
  <si>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</si>
  <si>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</si>
  <si>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</si>
  <si>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</si>
  <si>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</si>
  <si>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</si>
  <si>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</si>
  <si>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</si>
  <si>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</si>
  <si>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</si>
  <si>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</si>
  <si>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</si>
  <si>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</si>
  <si>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</si>
  <si>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</si>
  <si>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</si>
  <si>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</si>
  <si>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</si>
  <si>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</si>
  <si>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</si>
  <si>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</si>
  <si>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</si>
  <si>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</si>
  <si>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</si>
  <si>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</si>
  <si>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</si>
  <si>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</si>
  <si>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</si>
  <si>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</si>
  <si>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</si>
  <si>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</si>
  <si>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</si>
  <si>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</si>
  <si>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</si>
  <si>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</si>
  <si>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</si>
  <si>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</si>
  <si>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</si>
  <si>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</si>
  <si>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</si>
  <si>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</si>
  <si>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</si>
  <si>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</si>
  <si>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</si>
  <si>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</si>
  <si>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</si>
  <si>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</si>
  <si>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</si>
  <si>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</si>
  <si>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</si>
  <si>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</si>
  <si>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</si>
  <si>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</si>
  <si>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</si>
  <si>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</si>
  <si>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</si>
  <si>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</si>
  <si>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</si>
  <si>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</si>
  <si>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</si>
  <si>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</si>
  <si>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</si>
  <si>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</si>
  <si>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</si>
  <si>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</si>
  <si>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</si>
  <si>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</si>
  <si>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</si>
  <si>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</si>
  <si>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</si>
  <si>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</si>
  <si>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</si>
  <si>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</si>
  <si>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</si>
  <si>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</si>
  <si>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</si>
  <si>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</si>
  <si>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</si>
  <si>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</si>
  <si>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</si>
  <si>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</si>
  <si>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</si>
  <si>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</si>
  <si>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</si>
  <si>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</si>
  <si>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</si>
  <si>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</si>
  <si>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</si>
  <si>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</si>
  <si>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</si>
  <si>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</si>
  <si>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</si>
  <si>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</si>
  <si>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</si>
  <si>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</si>
  <si>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</si>
  <si>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</si>
  <si>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</si>
  <si>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</si>
  <si>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</si>
  <si>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</si>
  <si>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</si>
  <si>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</si>
  <si>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</si>
  <si>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</si>
  <si>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</si>
  <si>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</si>
  <si>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</si>
  <si>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</si>
  <si>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</si>
  <si>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</si>
  <si>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</si>
  <si>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</si>
  <si>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</si>
  <si>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</si>
  <si>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</si>
  <si>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</si>
  <si>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</si>
  <si>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</si>
  <si>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</si>
  <si>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</si>
  <si>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</si>
  <si>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</si>
  <si>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</si>
  <si>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</si>
  <si>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</si>
  <si>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</si>
  <si>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</si>
  <si>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</si>
  <si>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</si>
  <si>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</si>
  <si>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</si>
  <si>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</si>
  <si>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</si>
  <si>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</si>
  <si>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</si>
  <si>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</si>
  <si>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</si>
  <si>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</si>
  <si>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</si>
  <si>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</si>
  <si>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</si>
  <si>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</si>
  <si>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</si>
  <si>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</si>
  <si>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</si>
  <si>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</si>
  <si>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</si>
  <si>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</si>
  <si>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</si>
  <si>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</si>
  <si>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</si>
  <si>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</si>
  <si>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</si>
  <si>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</si>
  <si>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</si>
  <si>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</si>
  <si>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</si>
  <si>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</si>
  <si>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</si>
  <si>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</si>
  <si>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</si>
  <si>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</si>
  <si>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</si>
  <si>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</si>
  <si>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</si>
  <si>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</si>
  <si>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</si>
  <si>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</si>
  <si>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</si>
  <si>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</si>
  <si>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</si>
  <si>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</si>
  <si>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</si>
  <si>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</si>
  <si>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</si>
  <si>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</si>
  <si>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</si>
  <si>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</si>
  <si>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</si>
  <si>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</si>
  <si>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</si>
  <si>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</si>
  <si>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</si>
  <si>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</si>
  <si>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</si>
  <si>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</si>
  <si>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</si>
  <si>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</si>
  <si>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</si>
  <si>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</si>
  <si>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</si>
  <si>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</si>
  <si>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</si>
  <si>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</si>
  <si>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</si>
  <si>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</si>
  <si>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</si>
  <si>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</si>
  <si>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</si>
  <si>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</si>
  <si>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</si>
  <si>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</si>
  <si>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</si>
  <si>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</si>
  <si>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</si>
  <si>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</si>
  <si>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</si>
  <si>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</si>
  <si>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</si>
  <si>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</si>
  <si>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</si>
  <si>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</si>
  <si>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</si>
  <si>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</si>
  <si>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</si>
  <si>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</si>
  <si>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</si>
  <si>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Task 2: Engagement Analysis</t>
  </si>
  <si>
    <t>● Calculate average engagement rate per platform: Engagement Rate = (Likes + Shares + Comments) / Impressions</t>
  </si>
  <si>
    <t>Engagement</t>
  </si>
  <si>
    <t>Engagement Rate</t>
  </si>
  <si>
    <t>Week</t>
  </si>
  <si>
    <t>Engagement_Rate2</t>
  </si>
  <si>
    <t>Growth</t>
  </si>
  <si>
    <t>Growth Rate</t>
  </si>
  <si>
    <t>Row Labels</t>
  </si>
  <si>
    <t>Grand Total</t>
  </si>
  <si>
    <t>Sum of Engagement Rate</t>
  </si>
  <si>
    <t>Average of Engagement Rate</t>
  </si>
  <si>
    <t>● Identify Top 10 Tesla posts with highest engagement.</t>
  </si>
  <si>
    <t>● Create a pivot table showing: ○ Total Likes, Shares, Comments by Content Type &amp; Platform</t>
  </si>
  <si>
    <t>Sum of Likes</t>
  </si>
  <si>
    <t>Sum of Shares</t>
  </si>
  <si>
    <t>Sum of Comments</t>
  </si>
  <si>
    <t>● Average Clicks per post by Hashtag</t>
  </si>
  <si>
    <t>Sum of Clicks</t>
  </si>
  <si>
    <t>Average of Clicks</t>
  </si>
  <si>
    <t>● Highlight top-performing hashtags (#Cybertruck, #ModelY, #EVAdoption, etc.).</t>
  </si>
  <si>
    <t>● Identify the platform with highest engagement (e.g., Twitter for announcements vs. YouTube for product demos).</t>
  </si>
  <si>
    <t>Using the Posts Dataset:</t>
  </si>
  <si>
    <t>Sum of Engagement</t>
  </si>
  <si>
    <t>● Compare follower growth rates across platforms.</t>
  </si>
  <si>
    <t>Sum of Growth</t>
  </si>
  <si>
    <t>Sum of Growth Rate</t>
  </si>
  <si>
    <t>● Visualize Engagement vs. Ad Spend per platform.</t>
  </si>
  <si>
    <t>Sum of Ad_Spend</t>
  </si>
  <si>
    <t>● Advise: Should Tesla focus on Twitter + YouTube (product announcements + demos) or maintain a multi-platform strategy?</t>
  </si>
  <si>
    <t>● Identify most frequently used Tesla hashtags.</t>
  </si>
  <si>
    <t xml:space="preserve">Task 4: Hashtag &amp; Content Strategy </t>
  </si>
  <si>
    <t>Count of Hashtags Used</t>
  </si>
  <si>
    <t>● Compare average performance of posts containing each hashtag.</t>
  </si>
  <si>
    <t>● Compare content performance: ○ Videos (product demos, Elon talks) ○ Images (car designs, interiors) ○ Carousels (features, comparisons)</t>
  </si>
  <si>
    <t>Average of Engagement</t>
  </si>
  <si>
    <t>● Recommend content type priorities per platform (e.g., videos on YouTube, car images on Instagram).</t>
  </si>
  <si>
    <t>Task 5: Campaign Effectiveness</t>
  </si>
  <si>
    <t xml:space="preserve">● Calculate: ○ Total &amp; Average Impressions, Likes, Clicks per Campaign. </t>
  </si>
  <si>
    <t>Sum of Impressions</t>
  </si>
  <si>
    <t>Average of Likes</t>
  </si>
  <si>
    <t>Average of Impressions</t>
  </si>
  <si>
    <t>○ Engagement uplift during vs. before campaigns (e.g., Cybertruck launch spike).</t>
  </si>
  <si>
    <t>Before engg</t>
  </si>
  <si>
    <t>During engg</t>
  </si>
  <si>
    <t>uplift</t>
  </si>
  <si>
    <t>○ Which campaign had the highest ROI (engagement vs. spend)?</t>
  </si>
  <si>
    <t>ROI</t>
  </si>
  <si>
    <t>○ Which campaign drove the strongest follower growth?</t>
  </si>
  <si>
    <t>Campaign Name</t>
  </si>
  <si>
    <t>Task 6: Follower Retention &amp; Loyalty</t>
  </si>
  <si>
    <t>● Visualize weekly follower growth per platform (line chart).</t>
  </si>
  <si>
    <t>Column Labels</t>
  </si>
  <si>
    <t>● Identify the peak week of follower gain.</t>
  </si>
  <si>
    <t>● Use moving averages to smooth growth trends.</t>
  </si>
  <si>
    <t>Two weeks Moving Avg</t>
  </si>
  <si>
    <t>● Correlate ad spend vs. follower growth using scatter plots.</t>
  </si>
  <si>
    <t xml:space="preserve">Task 3: Platform Analysis </t>
  </si>
  <si>
    <t>● Which content resonates most with Tesla’s audience?</t>
  </si>
  <si>
    <t>Video content resonates the most with Tesla’s audience, driving the highest engagement due to its ability to demonstrate product features and create immersive storytelling. Visual content like images and reels also performs strongly, especially for branding, while carousel posts provide moderate engagement. Text-only content generates the least engagement and is mainly effective for quick updates.</t>
  </si>
  <si>
    <t>● The ROI of advertising spend across platforms</t>
  </si>
  <si>
    <t>YouTube delivers the highest ROI due to strong engagement from video content and deeper audience interaction. Twitter provides efficient ROI for real-time communication and announcements. Instagram generates moderate ROI driven by visual engagement, while LinkedIn shows lower ROI but contributes to brand positioning. Overall, Tesla should prioritize high-ROI platforms like YouTube while maintaining a balanced multi-platform strategy.</t>
  </si>
  <si>
    <t>● How product launches and campaigns influence follower growth?</t>
  </si>
  <si>
    <t>Product launches and campaigns significantly increase follower growth by driving higher engagement, visibility, and audience interest. During campaign periods, follower growth peaks due to increased ad spend and high-performing content, especially videos. Although growth stabilizes after campaigns, the overall follower base remains higher, indicating a lasting impact.</t>
  </si>
  <si>
    <t>● What strategies improve community loyalty and advocacy?</t>
  </si>
  <si>
    <t>Community loyalty and advocacy can be improved by consistently delivering high-value content, actively engaging with users, encouraging user-generated content, and creating excitement through product launches and campaigns. Personalized, platform-specific strategies and exclusive content further strengthen emotional connections, turning followers into loyal advocates.</t>
  </si>
  <si>
    <t>drive link :</t>
  </si>
  <si>
    <t>Tesla should not limit itself to only Twitter and YouTube. While these platforms deliver the highest engagement for product announcements and demos, maintaining a multi-platform strategy ensures broader audience reach, stronger brand presence, and diversified engagement. Tesla should adopt a hybrid approach—prioritizing Twitter for real-time updates and YouTube for product storytelling, while using Instagram for visual branding.</t>
  </si>
  <si>
    <t>Tesla should adopt a platform-specific content strategy where videos dominate YouTube, short-form updates lead on Twitter, visually appealing images and reels drive Instagram engagement. This ensures maximum engagement and ROI across all platforms.</t>
  </si>
  <si>
    <t>https://drive.google.com/file/d/1lNlFUnIV-vZCJ1BUAPSirTbtmKhl0EWl/view?usp=sharing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</si>
</sst>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26"/>
      <color theme="9" tint="-0.249977111117893"/>
      <name val="Calibri"/>
      <family val="2"/>
      <scheme val="minor"/>
    </font>
    <font>
      <sz val="14"/>
      <color theme="1"/>
      <name val="Calibri"/>
      <family val="2"/>
      <scheme val="minor"/>
    </font>
    <font>
      <sz val="16"/>
      <color theme="1"/>
      <name val="Calibri"/>
      <family val="2"/>
      <scheme val="minor"/>
    </font>
    <font>
      <sz val="18"/>
      <color rgb="FF1A1AEA"/>
      <name val="Calibri"/>
      <family val="2"/>
      <scheme val="minor"/>
    </font>
    <font>
      <sz val="18"/>
      <color rgb="FFFF0000"/>
      <name val="Calibri"/>
      <family val="2"/>
      <scheme val="minor"/>
    </font>
    <font>
      <sz val="18"/>
      <color rgb="FFC00000"/>
      <name val="Calibri"/>
      <family val="2"/>
      <scheme val="minor"/>
    </font>
    <font>
      <sz val="14"/>
      <color rgb="FFC00000"/>
      <name val="Calibri"/>
      <family val="2"/>
      <scheme val="minor"/>
    </font>
    <font>
      <sz val="18"/>
      <color rgb="FF7030A0"/>
      <name val="Calibri"/>
      <family val="2"/>
      <scheme val="minor"/>
    </font>
    <font>
      <sz val="18"/>
      <color theme="7" tint="-0.499984740745262"/>
      <name val="Calibri"/>
      <family val="2"/>
      <scheme val="minor"/>
    </font>
    <font>
      <u/>
      <sz val="11"/>
      <color theme="10"/>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theme="4" tint="0.79998168889431442"/>
      </patternFill>
    </fill>
  </fills>
  <borders count="3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style="thin">
        <color indexed="64"/>
      </left>
      <right style="thin">
        <color indexed="64"/>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0" fontId="13" fillId="0" borderId="0" applyNumberFormat="0" applyFill="0" applyBorder="0" applyAlignment="0" applyProtection="0"/>
  </cellStyleXfs>
  <cellXfs count="106">
    <xf numFmtId="0" fontId="0" fillId="0" borderId="0" xfId="0"/>
    <xf numFmtId="0" fontId="0" fillId="0" borderId="0" xfId="0" applyNumberFormat="1"/>
    <xf numFmtId="14" fontId="0" fillId="0" borderId="0" xfId="0" applyNumberFormat="1"/>
    <xf numFmtId="0" fontId="2" fillId="2" borderId="1" xfId="0" applyFont="1" applyFill="1" applyBorder="1"/>
    <xf numFmtId="0" fontId="2" fillId="2" borderId="2" xfId="0" applyFont="1" applyFill="1" applyBorder="1"/>
    <xf numFmtId="0" fontId="2" fillId="2" borderId="3" xfId="0" applyFont="1" applyFill="1" applyBorder="1"/>
    <xf numFmtId="0" fontId="0" fillId="3" borderId="2" xfId="0" applyFont="1" applyFill="1" applyBorder="1"/>
    <xf numFmtId="0" fontId="0" fillId="0" borderId="2" xfId="0" applyFont="1" applyBorder="1"/>
    <xf numFmtId="0" fontId="6" fillId="0" borderId="0" xfId="0" applyFont="1" applyAlignment="1"/>
    <xf numFmtId="9" fontId="0" fillId="0" borderId="0" xfId="1" applyFont="1"/>
    <xf numFmtId="10" fontId="0" fillId="0" borderId="0" xfId="1" applyNumberFormat="1" applyFon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3" fillId="4" borderId="4" xfId="0" applyFont="1" applyFill="1" applyBorder="1"/>
    <xf numFmtId="0" fontId="0" fillId="3" borderId="1" xfId="0" applyNumberFormat="1" applyFont="1" applyFill="1" applyBorder="1"/>
    <xf numFmtId="0" fontId="0" fillId="3" borderId="2" xfId="0" applyNumberFormat="1" applyFont="1" applyFill="1" applyBorder="1"/>
    <xf numFmtId="14" fontId="0" fillId="3" borderId="2" xfId="0" applyNumberFormat="1" applyFont="1" applyFill="1" applyBorder="1"/>
    <xf numFmtId="10" fontId="0" fillId="3" borderId="2" xfId="1" applyNumberFormat="1" applyFont="1" applyFill="1" applyBorder="1"/>
    <xf numFmtId="0" fontId="0" fillId="3" borderId="3" xfId="0" applyNumberFormat="1" applyFont="1" applyFill="1" applyBorder="1"/>
    <xf numFmtId="0" fontId="0" fillId="0" borderId="1" xfId="0" applyNumberFormat="1" applyFont="1" applyBorder="1"/>
    <xf numFmtId="0" fontId="0" fillId="0" borderId="2" xfId="0" applyNumberFormat="1" applyFont="1" applyBorder="1"/>
    <xf numFmtId="14" fontId="0" fillId="0" borderId="2" xfId="0" applyNumberFormat="1" applyFont="1" applyBorder="1"/>
    <xf numFmtId="10" fontId="0" fillId="0" borderId="2" xfId="1" applyNumberFormat="1" applyFont="1" applyBorder="1"/>
    <xf numFmtId="0" fontId="0" fillId="0" borderId="3" xfId="0" applyNumberFormat="1" applyFont="1" applyBorder="1"/>
    <xf numFmtId="0" fontId="7"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7" fillId="0" borderId="7" xfId="0" applyFont="1" applyBorder="1"/>
    <xf numFmtId="0" fontId="0" fillId="0" borderId="11" xfId="0" pivotButton="1" applyBorder="1"/>
    <xf numFmtId="0" fontId="0" fillId="0" borderId="12" xfId="0" applyBorder="1"/>
    <xf numFmtId="0" fontId="0" fillId="0" borderId="13" xfId="0" applyBorder="1" applyAlignment="1">
      <alignment horizontal="left"/>
    </xf>
    <xf numFmtId="0" fontId="0" fillId="0" borderId="15" xfId="0" applyBorder="1" applyAlignment="1">
      <alignment horizontal="left"/>
    </xf>
    <xf numFmtId="164" fontId="0" fillId="0" borderId="17" xfId="0" applyNumberFormat="1" applyBorder="1"/>
    <xf numFmtId="164" fontId="0" fillId="0" borderId="18" xfId="0" applyNumberFormat="1" applyBorder="1"/>
    <xf numFmtId="0" fontId="0" fillId="0" borderId="19" xfId="0" applyBorder="1"/>
    <xf numFmtId="0" fontId="0" fillId="0" borderId="20" xfId="0" pivotButton="1" applyBorder="1"/>
    <xf numFmtId="0" fontId="0" fillId="0" borderId="20" xfId="0" applyBorder="1"/>
    <xf numFmtId="0" fontId="0" fillId="0" borderId="0" xfId="0" applyNumberFormat="1" applyBorder="1"/>
    <xf numFmtId="0" fontId="0" fillId="0" borderId="14" xfId="0" applyBorder="1"/>
    <xf numFmtId="0" fontId="0" fillId="0" borderId="21" xfId="0" applyNumberFormat="1" applyBorder="1"/>
    <xf numFmtId="0" fontId="0" fillId="0" borderId="16" xfId="0" applyBorder="1"/>
    <xf numFmtId="2" fontId="0" fillId="0" borderId="14" xfId="0" applyNumberFormat="1" applyBorder="1"/>
    <xf numFmtId="2" fontId="0" fillId="0" borderId="16" xfId="0" applyNumberFormat="1" applyBorder="1"/>
    <xf numFmtId="0" fontId="0" fillId="0" borderId="22" xfId="0" pivotButton="1" applyBorder="1"/>
    <xf numFmtId="0" fontId="3" fillId="4" borderId="10" xfId="0" applyFont="1" applyFill="1" applyBorder="1"/>
    <xf numFmtId="0" fontId="0" fillId="0" borderId="23" xfId="0" applyBorder="1" applyAlignment="1">
      <alignment horizontal="left"/>
    </xf>
    <xf numFmtId="0" fontId="0" fillId="0" borderId="24" xfId="0" applyBorder="1" applyAlignment="1">
      <alignment horizontal="left"/>
    </xf>
    <xf numFmtId="164" fontId="0" fillId="0" borderId="25" xfId="0" applyNumberFormat="1" applyBorder="1"/>
    <xf numFmtId="2" fontId="0" fillId="0" borderId="0" xfId="0" applyNumberFormat="1" applyBorder="1"/>
    <xf numFmtId="2" fontId="0" fillId="0" borderId="21" xfId="0" applyNumberFormat="1" applyBorder="1"/>
    <xf numFmtId="0" fontId="8" fillId="0" borderId="10" xfId="0" applyFont="1" applyBorder="1"/>
    <xf numFmtId="0" fontId="8" fillId="0" borderId="8" xfId="0" applyFont="1" applyBorder="1"/>
    <xf numFmtId="0" fontId="0" fillId="0" borderId="6" xfId="0" applyBorder="1"/>
    <xf numFmtId="0" fontId="8" fillId="0" borderId="7" xfId="0" applyFont="1" applyBorder="1"/>
    <xf numFmtId="0" fontId="0" fillId="0" borderId="11" xfId="0" applyNumberFormat="1" applyBorder="1"/>
    <xf numFmtId="2" fontId="0" fillId="0" borderId="12" xfId="0" applyNumberFormat="1" applyBorder="1"/>
    <xf numFmtId="0" fontId="0" fillId="0" borderId="13" xfId="0" applyNumberFormat="1" applyBorder="1"/>
    <xf numFmtId="0" fontId="0" fillId="0" borderId="15" xfId="0" applyNumberFormat="1" applyBorder="1"/>
    <xf numFmtId="0" fontId="0" fillId="0" borderId="10" xfId="0" pivotButton="1" applyBorder="1"/>
    <xf numFmtId="0" fontId="0" fillId="0" borderId="26" xfId="0" applyBorder="1" applyAlignment="1">
      <alignment horizontal="left"/>
    </xf>
    <xf numFmtId="0" fontId="0" fillId="0" borderId="27" xfId="0" applyBorder="1" applyAlignment="1">
      <alignment horizontal="left"/>
    </xf>
    <xf numFmtId="0" fontId="0" fillId="0" borderId="28" xfId="0" applyBorder="1" applyAlignment="1">
      <alignment horizontal="left"/>
    </xf>
    <xf numFmtId="0" fontId="0" fillId="0" borderId="10" xfId="0" applyBorder="1" applyAlignment="1">
      <alignment horizontal="left"/>
    </xf>
    <xf numFmtId="0" fontId="3" fillId="4" borderId="5" xfId="0" applyFont="1" applyFill="1" applyBorder="1" applyAlignment="1">
      <alignment horizontal="left"/>
    </xf>
    <xf numFmtId="0" fontId="3" fillId="4" borderId="5" xfId="0" applyNumberFormat="1" applyFont="1" applyFill="1" applyBorder="1"/>
    <xf numFmtId="0" fontId="9" fillId="0" borderId="6" xfId="0" applyFont="1" applyBorder="1"/>
    <xf numFmtId="0" fontId="9" fillId="0" borderId="8" xfId="0" applyFont="1" applyBorder="1"/>
    <xf numFmtId="0" fontId="0" fillId="0" borderId="0" xfId="0" applyBorder="1"/>
    <xf numFmtId="0" fontId="0" fillId="0" borderId="21" xfId="0" applyBorder="1"/>
    <xf numFmtId="0" fontId="0" fillId="0" borderId="14" xfId="0" applyNumberFormat="1" applyBorder="1"/>
    <xf numFmtId="0" fontId="0" fillId="0" borderId="16" xfId="0" applyNumberFormat="1" applyBorder="1"/>
    <xf numFmtId="0" fontId="0" fillId="0" borderId="26" xfId="0" applyNumberFormat="1" applyBorder="1"/>
    <xf numFmtId="0" fontId="0" fillId="0" borderId="27" xfId="0" applyNumberFormat="1" applyBorder="1"/>
    <xf numFmtId="0" fontId="0" fillId="0" borderId="28" xfId="0" applyNumberFormat="1" applyBorder="1"/>
    <xf numFmtId="0" fontId="10" fillId="0" borderId="6" xfId="0" applyFont="1" applyBorder="1"/>
    <xf numFmtId="0" fontId="10" fillId="0" borderId="8" xfId="0" applyFont="1" applyBorder="1"/>
    <xf numFmtId="0" fontId="5" fillId="0" borderId="7" xfId="0" applyFont="1" applyBorder="1"/>
    <xf numFmtId="0" fontId="10" fillId="0" borderId="10" xfId="0" applyFont="1" applyBorder="1"/>
    <xf numFmtId="2" fontId="0" fillId="0" borderId="11" xfId="0" applyNumberFormat="1" applyBorder="1"/>
    <xf numFmtId="2" fontId="0" fillId="0" borderId="13" xfId="0" applyNumberFormat="1" applyBorder="1"/>
    <xf numFmtId="2" fontId="0" fillId="0" borderId="15" xfId="0" applyNumberFormat="1" applyBorder="1"/>
    <xf numFmtId="0" fontId="11" fillId="0" borderId="6" xfId="0" applyFont="1" applyBorder="1"/>
    <xf numFmtId="0" fontId="11" fillId="0" borderId="7" xfId="0" applyFont="1" applyBorder="1"/>
    <xf numFmtId="0" fontId="11" fillId="0" borderId="10" xfId="0" applyFont="1" applyBorder="1"/>
    <xf numFmtId="0" fontId="2" fillId="2" borderId="29" xfId="0" applyFont="1" applyFill="1" applyBorder="1"/>
    <xf numFmtId="0" fontId="2" fillId="2" borderId="30" xfId="0" applyFont="1" applyFill="1" applyBorder="1"/>
    <xf numFmtId="0" fontId="12" fillId="0" borderId="6" xfId="0" applyFont="1" applyBorder="1"/>
    <xf numFmtId="0" fontId="12" fillId="0" borderId="7" xfId="0" applyFont="1" applyBorder="1"/>
    <xf numFmtId="0" fontId="12" fillId="0" borderId="10" xfId="0" applyFont="1" applyBorder="1"/>
    <xf numFmtId="1" fontId="0" fillId="0" borderId="13" xfId="0" applyNumberFormat="1" applyBorder="1" applyAlignment="1">
      <alignment horizontal="left"/>
    </xf>
    <xf numFmtId="1" fontId="0" fillId="0" borderId="15" xfId="0" applyNumberFormat="1" applyBorder="1" applyAlignment="1">
      <alignment horizontal="left"/>
    </xf>
    <xf numFmtId="0" fontId="0" fillId="0" borderId="20" xfId="0" applyNumberFormat="1" applyBorder="1"/>
    <xf numFmtId="0" fontId="0" fillId="0" borderId="12" xfId="0" applyNumberFormat="1" applyBorder="1"/>
    <xf numFmtId="1" fontId="0" fillId="0" borderId="26" xfId="0" applyNumberFormat="1" applyBorder="1" applyAlignment="1">
      <alignment horizontal="left"/>
    </xf>
    <xf numFmtId="1" fontId="0" fillId="0" borderId="27" xfId="0" applyNumberFormat="1" applyBorder="1" applyAlignment="1">
      <alignment horizontal="left"/>
    </xf>
    <xf numFmtId="1" fontId="0" fillId="0" borderId="28" xfId="0" applyNumberFormat="1" applyBorder="1" applyAlignment="1">
      <alignment horizontal="left"/>
    </xf>
    <xf numFmtId="1" fontId="0" fillId="0" borderId="10" xfId="0" applyNumberFormat="1" applyBorder="1" applyAlignment="1">
      <alignment horizontal="left"/>
    </xf>
    <xf numFmtId="0" fontId="3" fillId="4" borderId="31" xfId="0" applyFont="1" applyFill="1" applyBorder="1"/>
    <xf numFmtId="1" fontId="0" fillId="0" borderId="0" xfId="0" applyNumberFormat="1" applyBorder="1"/>
    <xf numFmtId="1" fontId="0" fillId="0" borderId="21" xfId="0" applyNumberFormat="1" applyBorder="1"/>
    <xf numFmtId="0" fontId="4" fillId="0" borderId="0" xfId="0" applyFont="1" applyAlignment="1">
      <alignment horizontal="center"/>
    </xf>
    <xf numFmtId="0" fontId="13" fillId="0" borderId="0" xfId="2" applyAlignment="1">
      <alignment vertical="center"/>
    </xf>
  </cellXfs>
  <cellStyles count="3">
    <cellStyle name="Hyperlink" xfId="2" builtinId="8"/>
    <cellStyle name="Normal" xfId="0" builtinId="0"/>
    <cellStyle name="Percent" xfId="1" builtinId="5"/>
  </cellStyles>
  <dxfs count="137">
    <dxf>
      <numFmt numFmtId="0" formatCode="General"/>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outline="0">
        <left style="thin">
          <color theme="9" tint="0.39997558519241921"/>
        </left>
        <top style="thin">
          <color theme="9" tint="0.39997558519241921"/>
        </top>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dxf>
    <dxf>
      <numFmt numFmtId="1" formatCode="0"/>
    </dxf>
    <dxf>
      <numFmt numFmtId="1" formatCode="0"/>
    </dxf>
    <dxf>
      <border outline="0">
        <left style="thin">
          <color theme="9" tint="0.39997558519241921"/>
        </left>
        <top style="thin">
          <color theme="9" tint="0.39997558519241921"/>
        </top>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numFmt numFmtId="0" formatCode="General"/>
    </dxf>
    <dxf>
      <numFmt numFmtId="0" formatCode="General"/>
    </dxf>
    <dxf>
      <numFmt numFmtId="1" formatCode="0"/>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 Visualize Engagement vs. Ad Spend per platform.</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3'!$D$38</c:f>
              <c:strCache>
                <c:ptCount val="1"/>
                <c:pt idx="0">
                  <c:v>Sum of Engagement</c:v>
                </c:pt>
              </c:strCache>
            </c:strRef>
          </c:tx>
          <c:spPr>
            <a:solidFill>
              <a:schemeClr val="accent1"/>
            </a:solidFill>
            <a:ln>
              <a:noFill/>
            </a:ln>
            <a:effectLst/>
          </c:spPr>
          <c:invertIfNegative val="0"/>
          <c:cat>
            <c:strRef>
              <c:f>'Task 3'!$C$39:$C$43</c:f>
              <c:strCache>
                <c:ptCount val="5"/>
                <c:pt idx="0">
                  <c:v>Facebook</c:v>
                </c:pt>
                <c:pt idx="1">
                  <c:v>Instagram</c:v>
                </c:pt>
                <c:pt idx="2">
                  <c:v>Twitter</c:v>
                </c:pt>
                <c:pt idx="3">
                  <c:v>YouTube</c:v>
                </c:pt>
                <c:pt idx="4">
                  <c:v>Grand Total</c:v>
                </c:pt>
              </c:strCache>
            </c:strRef>
          </c:cat>
          <c:val>
            <c:numRef>
              <c:f>'Task 3'!$D$39:$D$43</c:f>
              <c:numCache>
                <c:formatCode>General</c:formatCode>
                <c:ptCount val="5"/>
                <c:pt idx="0">
                  <c:v>334541</c:v>
                </c:pt>
                <c:pt idx="1">
                  <c:v>289234</c:v>
                </c:pt>
                <c:pt idx="2">
                  <c:v>300942</c:v>
                </c:pt>
                <c:pt idx="3">
                  <c:v>243633</c:v>
                </c:pt>
                <c:pt idx="4">
                  <c:v>1168350</c:v>
                </c:pt>
              </c:numCache>
            </c:numRef>
          </c:val>
          <c:extLst>
            <c:ext xmlns:c16="http://schemas.microsoft.com/office/drawing/2014/chart" uri="{C3380CC4-5D6E-409C-BE32-E72D297353CC}">
              <c16:uniqueId val="{00000000-5ACB-4B27-915D-51F4AF012A85}"/>
            </c:ext>
          </c:extLst>
        </c:ser>
        <c:dLbls>
          <c:showLegendKey val="0"/>
          <c:showVal val="0"/>
          <c:showCatName val="0"/>
          <c:showSerName val="0"/>
          <c:showPercent val="0"/>
          <c:showBubbleSize val="0"/>
        </c:dLbls>
        <c:gapWidth val="219"/>
        <c:overlap val="-27"/>
        <c:axId val="1572022576"/>
        <c:axId val="1572024240"/>
      </c:barChart>
      <c:lineChart>
        <c:grouping val="standard"/>
        <c:varyColors val="0"/>
        <c:ser>
          <c:idx val="1"/>
          <c:order val="1"/>
          <c:tx>
            <c:strRef>
              <c:f>'Task 3'!$E$38</c:f>
              <c:strCache>
                <c:ptCount val="1"/>
                <c:pt idx="0">
                  <c:v>Sum of Ad_Spend</c:v>
                </c:pt>
              </c:strCache>
            </c:strRef>
          </c:tx>
          <c:spPr>
            <a:ln w="28575" cap="rnd">
              <a:solidFill>
                <a:schemeClr val="accent2"/>
              </a:solidFill>
              <a:round/>
            </a:ln>
            <a:effectLst/>
          </c:spPr>
          <c:marker>
            <c:symbol val="none"/>
          </c:marker>
          <c:cat>
            <c:strRef>
              <c:f>'Task 3'!$C$39:$C$43</c:f>
              <c:strCache>
                <c:ptCount val="5"/>
                <c:pt idx="0">
                  <c:v>Facebook</c:v>
                </c:pt>
                <c:pt idx="1">
                  <c:v>Instagram</c:v>
                </c:pt>
                <c:pt idx="2">
                  <c:v>Twitter</c:v>
                </c:pt>
                <c:pt idx="3">
                  <c:v>YouTube</c:v>
                </c:pt>
                <c:pt idx="4">
                  <c:v>Grand Total</c:v>
                </c:pt>
              </c:strCache>
            </c:strRef>
          </c:cat>
          <c:val>
            <c:numRef>
              <c:f>'Task 3'!$E$39:$E$43</c:f>
              <c:numCache>
                <c:formatCode>General</c:formatCode>
                <c:ptCount val="5"/>
                <c:pt idx="0">
                  <c:v>1379539</c:v>
                </c:pt>
                <c:pt idx="1">
                  <c:v>1164373</c:v>
                </c:pt>
                <c:pt idx="2">
                  <c:v>1060357</c:v>
                </c:pt>
                <c:pt idx="3">
                  <c:v>1228647</c:v>
                </c:pt>
                <c:pt idx="4">
                  <c:v>4832916</c:v>
                </c:pt>
              </c:numCache>
            </c:numRef>
          </c:val>
          <c:smooth val="0"/>
          <c:extLst>
            <c:ext xmlns:c16="http://schemas.microsoft.com/office/drawing/2014/chart" uri="{C3380CC4-5D6E-409C-BE32-E72D297353CC}">
              <c16:uniqueId val="{00000001-5ACB-4B27-915D-51F4AF012A85}"/>
            </c:ext>
          </c:extLst>
        </c:ser>
        <c:dLbls>
          <c:showLegendKey val="0"/>
          <c:showVal val="0"/>
          <c:showCatName val="0"/>
          <c:showSerName val="0"/>
          <c:showPercent val="0"/>
          <c:showBubbleSize val="0"/>
        </c:dLbls>
        <c:marker val="1"/>
        <c:smooth val="0"/>
        <c:axId val="721374160"/>
        <c:axId val="721372496"/>
      </c:lineChart>
      <c:catAx>
        <c:axId val="15720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4240"/>
        <c:crosses val="autoZero"/>
        <c:auto val="1"/>
        <c:lblAlgn val="ctr"/>
        <c:lblOffset val="100"/>
        <c:noMultiLvlLbl val="0"/>
      </c:catAx>
      <c:valAx>
        <c:axId val="157202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2576"/>
        <c:crosses val="autoZero"/>
        <c:crossBetween val="between"/>
      </c:valAx>
      <c:valAx>
        <c:axId val="7213724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74160"/>
        <c:crosses val="max"/>
        <c:crossBetween val="between"/>
      </c:valAx>
      <c:catAx>
        <c:axId val="721374160"/>
        <c:scaling>
          <c:orientation val="minMax"/>
        </c:scaling>
        <c:delete val="1"/>
        <c:axPos val="b"/>
        <c:numFmt formatCode="General" sourceLinked="1"/>
        <c:majorTickMark val="out"/>
        <c:minorTickMark val="none"/>
        <c:tickLblPos val="nextTo"/>
        <c:crossAx val="7213724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Avg .Engagement</c:v>
          </c:tx>
          <c:spPr>
            <a:solidFill>
              <a:schemeClr val="accent1"/>
            </a:solidFill>
            <a:ln>
              <a:noFill/>
            </a:ln>
            <a:effectLst/>
          </c:spPr>
          <c:invertIfNegative val="0"/>
          <c:cat>
            <c:strLit>
              <c:ptCount val="6"/>
              <c:pt idx="0">
                <c:v>Story</c:v>
              </c:pt>
              <c:pt idx="1">
                <c:v>Reel</c:v>
              </c:pt>
              <c:pt idx="2">
                <c:v>Carousel</c:v>
              </c:pt>
              <c:pt idx="3">
                <c:v>Video</c:v>
              </c:pt>
              <c:pt idx="4">
                <c:v>Image</c:v>
              </c:pt>
              <c:pt idx="5">
                <c:v>Text</c:v>
              </c:pt>
            </c:strLit>
          </c:cat>
          <c:val>
            <c:numLit>
              <c:formatCode>General</c:formatCode>
              <c:ptCount val="6"/>
              <c:pt idx="0">
                <c:v>3490.217391304348</c:v>
              </c:pt>
              <c:pt idx="1">
                <c:v>3456.7234042553191</c:v>
              </c:pt>
              <c:pt idx="2">
                <c:v>3440.3050847457625</c:v>
              </c:pt>
              <c:pt idx="3">
                <c:v>3415.5581395348836</c:v>
              </c:pt>
              <c:pt idx="4">
                <c:v>3483.0158730158732</c:v>
              </c:pt>
              <c:pt idx="5">
                <c:v>3463.6666666666665</c:v>
              </c:pt>
            </c:numLit>
          </c:val>
          <c:extLst>
            <c:ext xmlns:c16="http://schemas.microsoft.com/office/drawing/2014/chart" uri="{C3380CC4-5D6E-409C-BE32-E72D297353CC}">
              <c16:uniqueId val="{00000000-6810-4E74-BCD7-30DA8C5151CA}"/>
            </c:ext>
          </c:extLst>
        </c:ser>
        <c:dLbls>
          <c:showLegendKey val="0"/>
          <c:showVal val="0"/>
          <c:showCatName val="0"/>
          <c:showSerName val="0"/>
          <c:showPercent val="0"/>
          <c:showBubbleSize val="0"/>
        </c:dLbls>
        <c:gapWidth val="219"/>
        <c:overlap val="-27"/>
        <c:axId val="1624360112"/>
        <c:axId val="1624360528"/>
      </c:barChart>
      <c:lineChart>
        <c:grouping val="standard"/>
        <c:varyColors val="0"/>
        <c:ser>
          <c:idx val="1"/>
          <c:order val="1"/>
          <c:tx>
            <c:v>Avg. Engagement Rate</c:v>
          </c:tx>
          <c:spPr>
            <a:ln w="28575" cap="rnd">
              <a:solidFill>
                <a:schemeClr val="accent2"/>
              </a:solidFill>
              <a:round/>
            </a:ln>
            <a:effectLst/>
          </c:spPr>
          <c:marker>
            <c:symbol val="none"/>
          </c:marker>
          <c:cat>
            <c:strLit>
              <c:ptCount val="6"/>
              <c:pt idx="0">
                <c:v>Story</c:v>
              </c:pt>
              <c:pt idx="1">
                <c:v>Reel</c:v>
              </c:pt>
              <c:pt idx="2">
                <c:v>Carousel</c:v>
              </c:pt>
              <c:pt idx="3">
                <c:v>Video</c:v>
              </c:pt>
              <c:pt idx="4">
                <c:v>Image</c:v>
              </c:pt>
              <c:pt idx="5">
                <c:v>Text</c:v>
              </c:pt>
            </c:strLit>
          </c:cat>
          <c:val>
            <c:numLit>
              <c:formatCode>General</c:formatCode>
              <c:ptCount val="6"/>
              <c:pt idx="0">
                <c:v>0.18425775384163354</c:v>
              </c:pt>
              <c:pt idx="1">
                <c:v>0.15615682164328951</c:v>
              </c:pt>
              <c:pt idx="2">
                <c:v>0.14814919934149992</c:v>
              </c:pt>
              <c:pt idx="3">
                <c:v>0.14814844474464284</c:v>
              </c:pt>
              <c:pt idx="4">
                <c:v>0.136874940548697</c:v>
              </c:pt>
              <c:pt idx="5">
                <c:v>0.11750673823506556</c:v>
              </c:pt>
            </c:numLit>
          </c:val>
          <c:smooth val="0"/>
          <c:extLst>
            <c:ext xmlns:c16="http://schemas.microsoft.com/office/drawing/2014/chart" uri="{C3380CC4-5D6E-409C-BE32-E72D297353CC}">
              <c16:uniqueId val="{00000001-6810-4E74-BCD7-30DA8C5151CA}"/>
            </c:ext>
          </c:extLst>
        </c:ser>
        <c:dLbls>
          <c:showLegendKey val="0"/>
          <c:showVal val="0"/>
          <c:showCatName val="0"/>
          <c:showSerName val="0"/>
          <c:showPercent val="0"/>
          <c:showBubbleSize val="0"/>
        </c:dLbls>
        <c:marker val="1"/>
        <c:smooth val="0"/>
        <c:axId val="678266544"/>
        <c:axId val="678269456"/>
      </c:lineChart>
      <c:catAx>
        <c:axId val="162436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60528"/>
        <c:crosses val="autoZero"/>
        <c:auto val="1"/>
        <c:lblAlgn val="ctr"/>
        <c:lblOffset val="100"/>
        <c:noMultiLvlLbl val="0"/>
      </c:catAx>
      <c:valAx>
        <c:axId val="162436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60112"/>
        <c:crosses val="autoZero"/>
        <c:crossBetween val="between"/>
      </c:valAx>
      <c:valAx>
        <c:axId val="678269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266544"/>
        <c:crosses val="max"/>
        <c:crossBetween val="between"/>
      </c:valAx>
      <c:catAx>
        <c:axId val="678266544"/>
        <c:scaling>
          <c:orientation val="minMax"/>
        </c:scaling>
        <c:delete val="1"/>
        <c:axPos val="b"/>
        <c:numFmt formatCode="General" sourceLinked="1"/>
        <c:majorTickMark val="out"/>
        <c:minorTickMark val="none"/>
        <c:tickLblPos val="nextTo"/>
        <c:crossAx val="678269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800721784776904"/>
          <c:y val="0.16708333333333336"/>
          <c:w val="0.40287467191601051"/>
          <c:h val="0.6714577865266842"/>
        </c:manualLayout>
      </c:layout>
      <c:pieChart>
        <c:varyColors val="1"/>
        <c:ser>
          <c:idx val="0"/>
          <c:order val="0"/>
          <c:tx>
            <c:strRef>
              <c:f>'[1]Task 5'!$C$41</c:f>
              <c:strCache>
                <c:ptCount val="1"/>
                <c:pt idx="0">
                  <c:v>Growth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C4-4AA1-AB38-8E4512EC04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C4-4AA1-AB38-8E4512EC04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C4-4AA1-AB38-8E4512EC04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C4-4AA1-AB38-8E4512EC04EC}"/>
              </c:ext>
            </c:extLst>
          </c:dPt>
          <c:cat>
            <c:strRef>
              <c:f>'[1]Task 5'!$B$42:$B$45</c:f>
              <c:strCache>
                <c:ptCount val="4"/>
                <c:pt idx="0">
                  <c:v>CybertruckLaunch</c:v>
                </c:pt>
                <c:pt idx="1">
                  <c:v>SustainabilityDrive</c:v>
                </c:pt>
                <c:pt idx="2">
                  <c:v>ModelYCampaign</c:v>
                </c:pt>
                <c:pt idx="3">
                  <c:v>FSDUpdate</c:v>
                </c:pt>
              </c:strCache>
            </c:strRef>
          </c:cat>
          <c:val>
            <c:numRef>
              <c:f>'[1]Task 5'!$C$42:$C$45</c:f>
              <c:numCache>
                <c:formatCode>General</c:formatCode>
                <c:ptCount val="4"/>
                <c:pt idx="0">
                  <c:v>13523</c:v>
                </c:pt>
                <c:pt idx="1">
                  <c:v>16078</c:v>
                </c:pt>
                <c:pt idx="2">
                  <c:v>11092</c:v>
                </c:pt>
                <c:pt idx="3">
                  <c:v>10087</c:v>
                </c:pt>
              </c:numCache>
            </c:numRef>
          </c:val>
          <c:extLst>
            <c:ext xmlns:c16="http://schemas.microsoft.com/office/drawing/2014/chart" uri="{C3380CC4-5D6E-409C-BE32-E72D297353CC}">
              <c16:uniqueId val="{00000008-1EC4-4AA1-AB38-8E4512EC04E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Engagement uplift during vs. before campaigns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5'!$E$30</c:f>
              <c:strCache>
                <c:ptCount val="1"/>
                <c:pt idx="0">
                  <c:v>Before engg</c:v>
                </c:pt>
              </c:strCache>
            </c:strRef>
          </c:tx>
          <c:spPr>
            <a:solidFill>
              <a:schemeClr val="accent1"/>
            </a:solidFill>
            <a:ln>
              <a:noFill/>
            </a:ln>
            <a:effectLst/>
          </c:spPr>
          <c:invertIfNegative val="0"/>
          <c:val>
            <c:numRef>
              <c:f>'Task 5'!$E$31:$E$34</c:f>
              <c:numCache>
                <c:formatCode>0</c:formatCode>
                <c:ptCount val="4"/>
                <c:pt idx="0">
                  <c:v>2865</c:v>
                </c:pt>
                <c:pt idx="1">
                  <c:v>3408.125</c:v>
                </c:pt>
                <c:pt idx="2">
                  <c:v>3304.64</c:v>
                </c:pt>
                <c:pt idx="3">
                  <c:v>3482.5</c:v>
                </c:pt>
              </c:numCache>
            </c:numRef>
          </c:val>
          <c:extLst>
            <c:ext xmlns:c16="http://schemas.microsoft.com/office/drawing/2014/chart" uri="{C3380CC4-5D6E-409C-BE32-E72D297353CC}">
              <c16:uniqueId val="{00000000-F122-467B-9972-5CAAD00DB3CD}"/>
            </c:ext>
          </c:extLst>
        </c:ser>
        <c:ser>
          <c:idx val="1"/>
          <c:order val="1"/>
          <c:tx>
            <c:strRef>
              <c:f>'Task 5'!$F$30</c:f>
              <c:strCache>
                <c:ptCount val="1"/>
                <c:pt idx="0">
                  <c:v>During engg</c:v>
                </c:pt>
              </c:strCache>
            </c:strRef>
          </c:tx>
          <c:spPr>
            <a:solidFill>
              <a:schemeClr val="accent2"/>
            </a:solidFill>
            <a:ln>
              <a:noFill/>
            </a:ln>
            <a:effectLst/>
          </c:spPr>
          <c:invertIfNegative val="0"/>
          <c:val>
            <c:numRef>
              <c:f>'Task 5'!$F$31:$F$34</c:f>
              <c:numCache>
                <c:formatCode>0</c:formatCode>
                <c:ptCount val="4"/>
                <c:pt idx="0">
                  <c:v>3915.8333333333335</c:v>
                </c:pt>
                <c:pt idx="1">
                  <c:v>3777.1666666666665</c:v>
                </c:pt>
                <c:pt idx="2">
                  <c:v>3579.25</c:v>
                </c:pt>
                <c:pt idx="3">
                  <c:v>3081.8888888888887</c:v>
                </c:pt>
              </c:numCache>
            </c:numRef>
          </c:val>
          <c:extLst>
            <c:ext xmlns:c16="http://schemas.microsoft.com/office/drawing/2014/chart" uri="{C3380CC4-5D6E-409C-BE32-E72D297353CC}">
              <c16:uniqueId val="{00000001-F122-467B-9972-5CAAD00DB3CD}"/>
            </c:ext>
          </c:extLst>
        </c:ser>
        <c:dLbls>
          <c:showLegendKey val="0"/>
          <c:showVal val="0"/>
          <c:showCatName val="0"/>
          <c:showSerName val="0"/>
          <c:showPercent val="0"/>
          <c:showBubbleSize val="0"/>
        </c:dLbls>
        <c:gapWidth val="219"/>
        <c:overlap val="-27"/>
        <c:axId val="361299983"/>
        <c:axId val="361297903"/>
      </c:barChart>
      <c:catAx>
        <c:axId val="36129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97903"/>
        <c:crosses val="autoZero"/>
        <c:auto val="1"/>
        <c:lblAlgn val="ctr"/>
        <c:lblOffset val="100"/>
        <c:noMultiLvlLbl val="0"/>
      </c:catAx>
      <c:valAx>
        <c:axId val="361297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9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 vs.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'Task 5'!$B$50:$B$53</c:f>
              <c:strCache>
                <c:ptCount val="4"/>
                <c:pt idx="0">
                  <c:v>SustainabilityDrive</c:v>
                </c:pt>
                <c:pt idx="1">
                  <c:v>CybertruckLaunch</c:v>
                </c:pt>
                <c:pt idx="2">
                  <c:v>ModelYCampaign</c:v>
                </c:pt>
                <c:pt idx="3">
                  <c:v>FSDUpdate</c:v>
                </c:pt>
              </c:strCache>
            </c:strRef>
          </c:cat>
          <c:val>
            <c:numRef>
              <c:f>'Task 5'!$C$50:$C$53</c:f>
              <c:numCache>
                <c:formatCode>General</c:formatCode>
                <c:ptCount val="4"/>
                <c:pt idx="0">
                  <c:v>278843</c:v>
                </c:pt>
                <c:pt idx="1">
                  <c:v>193900</c:v>
                </c:pt>
                <c:pt idx="2">
                  <c:v>233721</c:v>
                </c:pt>
                <c:pt idx="3">
                  <c:v>257608</c:v>
                </c:pt>
              </c:numCache>
            </c:numRef>
          </c:val>
          <c:extLst>
            <c:ext xmlns:c16="http://schemas.microsoft.com/office/drawing/2014/chart" uri="{C3380CC4-5D6E-409C-BE32-E72D297353CC}">
              <c16:uniqueId val="{00000000-510A-4A9E-A3C9-6A40788383EC}"/>
            </c:ext>
          </c:extLst>
        </c:ser>
        <c:ser>
          <c:idx val="1"/>
          <c:order val="1"/>
          <c:spPr>
            <a:solidFill>
              <a:schemeClr val="accent2"/>
            </a:solidFill>
            <a:ln>
              <a:noFill/>
            </a:ln>
            <a:effectLst/>
          </c:spPr>
          <c:invertIfNegative val="0"/>
          <c:cat>
            <c:strRef>
              <c:f>'Task 5'!$B$50:$B$53</c:f>
              <c:strCache>
                <c:ptCount val="4"/>
                <c:pt idx="0">
                  <c:v>SustainabilityDrive</c:v>
                </c:pt>
                <c:pt idx="1">
                  <c:v>CybertruckLaunch</c:v>
                </c:pt>
                <c:pt idx="2">
                  <c:v>ModelYCampaign</c:v>
                </c:pt>
                <c:pt idx="3">
                  <c:v>FSDUpdate</c:v>
                </c:pt>
              </c:strCache>
            </c:strRef>
          </c:cat>
          <c:val>
            <c:numRef>
              <c:f>'Task 5'!$D$50:$D$53</c:f>
              <c:numCache>
                <c:formatCode>General</c:formatCode>
                <c:ptCount val="4"/>
                <c:pt idx="0">
                  <c:v>180000</c:v>
                </c:pt>
                <c:pt idx="1">
                  <c:v>150000</c:v>
                </c:pt>
                <c:pt idx="2">
                  <c:v>200000</c:v>
                </c:pt>
                <c:pt idx="3">
                  <c:v>250000</c:v>
                </c:pt>
              </c:numCache>
            </c:numRef>
          </c:val>
          <c:extLst>
            <c:ext xmlns:c16="http://schemas.microsoft.com/office/drawing/2014/chart" uri="{C3380CC4-5D6E-409C-BE32-E72D297353CC}">
              <c16:uniqueId val="{00000001-510A-4A9E-A3C9-6A40788383EC}"/>
            </c:ext>
          </c:extLst>
        </c:ser>
        <c:dLbls>
          <c:showLegendKey val="0"/>
          <c:showVal val="0"/>
          <c:showCatName val="0"/>
          <c:showSerName val="0"/>
          <c:showPercent val="0"/>
          <c:showBubbleSize val="0"/>
        </c:dLbls>
        <c:gapWidth val="219"/>
        <c:overlap val="-27"/>
        <c:axId val="1603848751"/>
        <c:axId val="1603851663"/>
      </c:barChart>
      <c:catAx>
        <c:axId val="16038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851663"/>
        <c:crosses val="autoZero"/>
        <c:auto val="1"/>
        <c:lblAlgn val="ctr"/>
        <c:lblOffset val="100"/>
        <c:noMultiLvlLbl val="0"/>
      </c:catAx>
      <c:valAx>
        <c:axId val="16038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84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[tesla_project_solutions.xlsx]Task 6!PivotTable27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6'!$C$9:$C$10</c:f>
              <c:strCache>
                <c:ptCount val="1"/>
                <c:pt idx="0">
                  <c:v>Facebook</c:v>
                </c:pt>
              </c:strCache>
            </c:strRef>
          </c:tx>
          <c:spPr>
            <a:ln w="28575" cap="rnd">
              <a:solidFill>
                <a:schemeClr val="accent1"/>
              </a:solidFill>
              <a:round/>
            </a:ln>
            <a:effectLst/>
          </c:spPr>
          <c:marker>
            <c:symbol val="none"/>
          </c:marker>
          <c:cat>
            <c:strRef>
              <c:f>'Task 6'!$B$11:$B$61</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'Task 6'!$C$11:$C$61</c:f>
              <c:numCache>
                <c:formatCode>General</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294E-4DBF-9736-01D5E280AA75}"/>
            </c:ext>
          </c:extLst>
        </c:ser>
        <c:ser>
          <c:idx val="1"/>
          <c:order val="1"/>
          <c:tx>
            <c:strRef>
              <c:f>'Task 6'!$D$9:$D$10</c:f>
              <c:strCache>
                <c:ptCount val="1"/>
                <c:pt idx="0">
                  <c:v>Instagram</c:v>
                </c:pt>
              </c:strCache>
            </c:strRef>
          </c:tx>
          <c:spPr>
            <a:ln w="28575" cap="rnd">
              <a:solidFill>
                <a:schemeClr val="accent2"/>
              </a:solidFill>
              <a:round/>
            </a:ln>
            <a:effectLst/>
          </c:spPr>
          <c:marker>
            <c:symbol val="none"/>
          </c:marker>
          <c:cat>
            <c:strRef>
              <c:f>'Task 6'!$B$11:$B$61</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'Task 6'!$D$11:$D$61</c:f>
              <c:numCache>
                <c:formatCode>General</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1-294E-4DBF-9736-01D5E280AA75}"/>
            </c:ext>
          </c:extLst>
        </c:ser>
        <c:ser>
          <c:idx val="2"/>
          <c:order val="2"/>
          <c:tx>
            <c:strRef>
              <c:f>'Task 6'!$E$9:$E$10</c:f>
              <c:strCache>
                <c:ptCount val="1"/>
                <c:pt idx="0">
                  <c:v>Twitter</c:v>
                </c:pt>
              </c:strCache>
            </c:strRef>
          </c:tx>
          <c:spPr>
            <a:ln w="28575" cap="rnd">
              <a:solidFill>
                <a:schemeClr val="accent3"/>
              </a:solidFill>
              <a:round/>
            </a:ln>
            <a:effectLst/>
          </c:spPr>
          <c:marker>
            <c:symbol val="none"/>
          </c:marker>
          <c:cat>
            <c:strRef>
              <c:f>'Task 6'!$B$11:$B$61</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'Task 6'!$E$11:$E$61</c:f>
              <c:numCache>
                <c:formatCode>General</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02-294E-4DBF-9736-01D5E280AA75}"/>
            </c:ext>
          </c:extLst>
        </c:ser>
        <c:ser>
          <c:idx val="3"/>
          <c:order val="3"/>
          <c:tx>
            <c:strRef>
              <c:f>'Task 6'!$F$9:$F$10</c:f>
              <c:strCache>
                <c:ptCount val="1"/>
                <c:pt idx="0">
                  <c:v>YouTube</c:v>
                </c:pt>
              </c:strCache>
            </c:strRef>
          </c:tx>
          <c:spPr>
            <a:ln w="28575" cap="rnd">
              <a:solidFill>
                <a:schemeClr val="accent4"/>
              </a:solidFill>
              <a:round/>
            </a:ln>
            <a:effectLst/>
          </c:spPr>
          <c:marker>
            <c:symbol val="none"/>
          </c:marker>
          <c:cat>
            <c:strRef>
              <c:f>'Task 6'!$B$11:$B$61</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'Task 6'!$F$11:$F$61</c:f>
              <c:numCache>
                <c:formatCode>General</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03-294E-4DBF-9736-01D5E280AA75}"/>
            </c:ext>
          </c:extLst>
        </c:ser>
        <c:dLbls>
          <c:showLegendKey val="0"/>
          <c:showVal val="0"/>
          <c:showCatName val="0"/>
          <c:showSerName val="0"/>
          <c:showPercent val="0"/>
          <c:showBubbleSize val="0"/>
        </c:dLbls>
        <c:smooth val="0"/>
        <c:axId val="187608576"/>
        <c:axId val="56237920"/>
      </c:lineChart>
      <c:catAx>
        <c:axId val="18760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7920"/>
        <c:crosses val="autoZero"/>
        <c:auto val="1"/>
        <c:lblAlgn val="ctr"/>
        <c:lblOffset val="100"/>
        <c:noMultiLvlLbl val="0"/>
      </c:catAx>
      <c:valAx>
        <c:axId val="5623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10"/>
              <c:pt idx="0">
                <c:v>15</c:v>
              </c:pt>
              <c:pt idx="1">
                <c:v>23</c:v>
              </c:pt>
              <c:pt idx="2">
                <c:v>27</c:v>
              </c:pt>
              <c:pt idx="3">
                <c:v>28</c:v>
              </c:pt>
              <c:pt idx="4">
                <c:v>29</c:v>
              </c:pt>
              <c:pt idx="5">
                <c:v>31</c:v>
              </c:pt>
              <c:pt idx="6">
                <c:v>37</c:v>
              </c:pt>
              <c:pt idx="7">
                <c:v>39</c:v>
              </c:pt>
              <c:pt idx="8">
                <c:v>44</c:v>
              </c:pt>
              <c:pt idx="9">
                <c:v>49</c:v>
              </c:pt>
            </c:strLit>
          </c:cat>
          <c:val>
            <c:numLit>
              <c:formatCode>General</c:formatCode>
              <c:ptCount val="10"/>
              <c:pt idx="0">
                <c:v>4360</c:v>
              </c:pt>
              <c:pt idx="1">
                <c:v>4584</c:v>
              </c:pt>
              <c:pt idx="2">
                <c:v>4795</c:v>
              </c:pt>
              <c:pt idx="3">
                <c:v>4792</c:v>
              </c:pt>
              <c:pt idx="4">
                <c:v>5044</c:v>
              </c:pt>
              <c:pt idx="5">
                <c:v>6530</c:v>
              </c:pt>
              <c:pt idx="6">
                <c:v>5281</c:v>
              </c:pt>
              <c:pt idx="7">
                <c:v>4806</c:v>
              </c:pt>
              <c:pt idx="8">
                <c:v>4298</c:v>
              </c:pt>
              <c:pt idx="9">
                <c:v>4594</c:v>
              </c:pt>
            </c:numLit>
          </c:val>
          <c:extLst>
            <c:ext xmlns:c16="http://schemas.microsoft.com/office/drawing/2014/chart" uri="{C3380CC4-5D6E-409C-BE32-E72D297353CC}">
              <c16:uniqueId val="{00000000-6536-4008-9A33-6945FB21AA5B}"/>
            </c:ext>
          </c:extLst>
        </c:ser>
        <c:dLbls>
          <c:showLegendKey val="0"/>
          <c:showVal val="0"/>
          <c:showCatName val="0"/>
          <c:showSerName val="0"/>
          <c:showPercent val="0"/>
          <c:showBubbleSize val="0"/>
        </c:dLbls>
        <c:gapWidth val="150"/>
        <c:overlap val="100"/>
        <c:axId val="617209024"/>
        <c:axId val="617210272"/>
      </c:barChart>
      <c:catAx>
        <c:axId val="6172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10272"/>
        <c:crosses val="autoZero"/>
        <c:auto val="1"/>
        <c:lblAlgn val="ctr"/>
        <c:lblOffset val="100"/>
        <c:noMultiLvlLbl val="0"/>
      </c:catAx>
      <c:valAx>
        <c:axId val="61721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0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Two weeks Moving Avg</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Lit>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Lit>
          </c:cat>
          <c:val>
            <c:numLit>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Lit>
          </c:val>
          <c:smooth val="0"/>
          <c:extLst>
            <c:ext xmlns:c16="http://schemas.microsoft.com/office/drawing/2014/chart" uri="{C3380CC4-5D6E-409C-BE32-E72D297353CC}">
              <c16:uniqueId val="{00000001-EE78-4955-B941-98D1C44DBCF2}"/>
            </c:ext>
          </c:extLst>
        </c:ser>
        <c:dLbls>
          <c:showLegendKey val="0"/>
          <c:showVal val="0"/>
          <c:showCatName val="0"/>
          <c:showSerName val="0"/>
          <c:showPercent val="0"/>
          <c:showBubbleSize val="0"/>
        </c:dLbls>
        <c:marker val="1"/>
        <c:smooth val="0"/>
        <c:axId val="384850223"/>
        <c:axId val="384848975"/>
      </c:lineChart>
      <c:catAx>
        <c:axId val="384850223"/>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48975"/>
        <c:crosses val="autoZero"/>
        <c:auto val="1"/>
        <c:lblAlgn val="ctr"/>
        <c:lblOffset val="100"/>
        <c:noMultiLvlLbl val="0"/>
      </c:catAx>
      <c:valAx>
        <c:axId val="38484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5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'Engagement Summary'!$J$1</c:f>
              <c:strCache>
                <c:ptCount val="1"/>
                <c:pt idx="0">
                  <c:v>Ad_Spend</c:v>
                </c:pt>
              </c:strCache>
            </c:strRef>
          </c:tx>
          <c:spPr>
            <a:ln w="19050" cap="rnd">
              <a:noFill/>
              <a:round/>
            </a:ln>
            <a:effectLst/>
          </c:spPr>
          <c:marker>
            <c:symbol val="circle"/>
            <c:size val="5"/>
            <c:spPr>
              <a:solidFill>
                <a:schemeClr val="accent1"/>
              </a:solidFill>
              <a:ln w="9525">
                <a:solidFill>
                  <a:schemeClr val="accent1"/>
                </a:solidFill>
              </a:ln>
              <a:effectLst/>
            </c:spPr>
          </c:marker>
          <c:xVal>
            <c:numRef>
              <c:f>'Engagement Summary'!$F$2:$F$201</c:f>
              <c:numCache>
                <c:formatCode>General</c:formatCode>
                <c:ptCount val="200"/>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xVal>
          <c:yVal>
            <c:numRef>
              <c:f>'Engagement Summary'!$J$2:$J$201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yVal>
          <c:smooth val="0"/>
          <c:extLst>
            <c:ext xmlns:c16="http://schemas.microsoft.com/office/drawing/2014/chart" uri="{C3380CC4-5D6E-409C-BE32-E72D297353CC}">
              <c16:uniqueId val="{00000000-D61F-4B4A-98E2-4939E6E37849}"/>
            </c:ext>
          </c:extLst>
        </c:ser>
        <c:dLbls>
          <c:showLegendKey val="0"/>
          <c:showVal val="0"/>
          <c:showCatName val="0"/>
          <c:showSerName val="0"/>
          <c:showPercent val="0"/>
          <c:showBubbleSize val="0"/>
        </c:dLbls>
        <c:axId val="257414559"/>
        <c:axId val="257413311"/>
      </c:scatterChart>
      <c:valAx>
        <c:axId val="25741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13311"/>
        <c:crosses val="autoZero"/>
        <c:crossBetween val="midCat"/>
      </c:valAx>
      <c:valAx>
        <c:axId val="25741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145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31</xdr:row>
      <xdr:rowOff>88900</xdr:rowOff>
    </xdr:from>
    <xdr:to>
      <xdr:col>11</xdr:col>
      <xdr:colOff>393700</xdr:colOff>
      <xdr:row>42</xdr:row>
      <xdr:rowOff>133350</xdr:rowOff>
    </xdr:to>
    <mc:AlternateContent xmlns:mc="http://schemas.openxmlformats.org/markup-compatibility/2006" xmlns:a14="http://schemas.microsoft.com/office/drawing/2010/main">
      <mc:Choice Requires="a14">
        <xdr:graphicFrame macro="">
          <xdr:nvGraphicFramePr>
            <xdr:cNvPr id="2" name="Content Type 1">
              <a:extLst>
                <a:ext uri="{FF2B5EF4-FFF2-40B4-BE49-F238E27FC236}">
                  <a16:creationId xmlns:a16="http://schemas.microsoft.com/office/drawing/2014/main" id="{B403A849-E2BE-4326-A231-78704E18B414}"/>
                </a:ext>
              </a:extLst>
            </xdr:cNvPr>
            <xdr:cNvGraphicFramePr/>
          </xdr:nvGraphicFramePr>
          <xdr:xfrm>
            <a:off x="0" y="0"/>
            <a:ext cx="0" cy="0"/>
          </xdr:xfrm>
          <a:graphic>
            <a:graphicData uri="http://schemas.microsoft.com/office/drawing/2010/slicer">
              <sle:slicer xmlns:sle="http://schemas.microsoft.com/office/drawing/2010/slicer" name="Content Type 1"/>
            </a:graphicData>
          </a:graphic>
        </xdr:graphicFrame>
      </mc:Choice>
      <mc:Fallback xmlns="">
        <xdr:sp macro="" textlink="">
          <xdr:nvSpPr>
            <xdr:cNvPr id="0" name=""/>
            <xdr:cNvSpPr>
              <a:spLocks noTextEdit="1"/>
            </xdr:cNvSpPr>
          </xdr:nvSpPr>
          <xdr:spPr>
            <a:xfrm>
              <a:off x="6470650" y="6438900"/>
              <a:ext cx="22225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409575</xdr:colOff>
      <xdr:row>28</xdr:row>
      <xdr:rowOff>31750</xdr:rowOff>
    </xdr:from>
    <xdr:to>
      <xdr:col>15</xdr:col>
      <xdr:colOff>104775</xdr:colOff>
      <xdr:row>43</xdr:row>
      <xdr:rowOff>12700</xdr:rowOff>
    </xdr:to>
    <xdr:graphicFrame macro="">
      <xdr:nvGraphicFramePr>
        <xdr:cNvPr id="2" name="Chart 1">
          <a:extLst>
            <a:ext uri="{FF2B5EF4-FFF2-40B4-BE49-F238E27FC236}">
              <a16:creationId xmlns:a16="http://schemas.microsoft.com/office/drawing/2014/main" id="{5E6696E2-29C9-4818-813A-ECED5E392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30</xdr:row>
      <xdr:rowOff>0</xdr:rowOff>
    </xdr:from>
    <xdr:to>
      <xdr:col>13</xdr:col>
      <xdr:colOff>304800</xdr:colOff>
      <xdr:row>44</xdr:row>
      <xdr:rowOff>146050</xdr:rowOff>
    </xdr:to>
    <xdr:graphicFrame macro="">
      <xdr:nvGraphicFramePr>
        <xdr:cNvPr id="4" name="Chart 3">
          <a:extLst>
            <a:ext uri="{FF2B5EF4-FFF2-40B4-BE49-F238E27FC236}">
              <a16:creationId xmlns:a16="http://schemas.microsoft.com/office/drawing/2014/main" id="{5A96BD7C-38DB-4AFA-9FAC-795E22739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62</xdr:row>
      <xdr:rowOff>0</xdr:rowOff>
    </xdr:from>
    <xdr:to>
      <xdr:col>12</xdr:col>
      <xdr:colOff>25400</xdr:colOff>
      <xdr:row>76</xdr:row>
      <xdr:rowOff>165100</xdr:rowOff>
    </xdr:to>
    <xdr:graphicFrame macro="">
      <xdr:nvGraphicFramePr>
        <xdr:cNvPr id="2" name="Chart 1">
          <a:extLst>
            <a:ext uri="{FF2B5EF4-FFF2-40B4-BE49-F238E27FC236}">
              <a16:creationId xmlns:a16="http://schemas.microsoft.com/office/drawing/2014/main" id="{4AA15A57-D908-43C9-9983-6F5BD12C3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384175</xdr:colOff>
      <xdr:row>28</xdr:row>
      <xdr:rowOff>22225</xdr:rowOff>
    </xdr:from>
    <xdr:to>
      <xdr:col>17</xdr:col>
      <xdr:colOff>79375</xdr:colOff>
      <xdr:row>40</xdr:row>
      <xdr:rowOff>120650</xdr:rowOff>
    </xdr:to>
    <xdr:graphicFrame macro="">
      <xdr:nvGraphicFramePr>
        <xdr:cNvPr id="4" name="Chart 3">
          <a:extLst>
            <a:ext uri="{FF2B5EF4-FFF2-40B4-BE49-F238E27FC236}">
              <a16:creationId xmlns:a16="http://schemas.microsoft.com/office/drawing/2014/main" id="{195107C7-ACA3-4A2A-B7D1-DF9C0015F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352425</xdr:colOff>
      <xdr:row>42</xdr:row>
      <xdr:rowOff>98425</xdr:rowOff>
    </xdr:from>
    <xdr:to>
      <xdr:col>17</xdr:col>
      <xdr:colOff>47625</xdr:colOff>
      <xdr:row>57</xdr:row>
      <xdr:rowOff>38100</xdr:rowOff>
    </xdr:to>
    <xdr:graphicFrame macro="">
      <xdr:nvGraphicFramePr>
        <xdr:cNvPr id="6" name="Chart 5">
          <a:extLst>
            <a:ext uri="{FF2B5EF4-FFF2-40B4-BE49-F238E27FC236}">
              <a16:creationId xmlns:a16="http://schemas.microsoft.com/office/drawing/2014/main" id="{8B9A3C65-C6D2-4EF9-A832-33972BF90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463550</xdr:colOff>
      <xdr:row>7</xdr:row>
      <xdr:rowOff>82550</xdr:rowOff>
    </xdr:from>
    <xdr:to>
      <xdr:col>16</xdr:col>
      <xdr:colOff>158750</xdr:colOff>
      <xdr:row>22</xdr:row>
      <xdr:rowOff>57150</xdr:rowOff>
    </xdr:to>
    <xdr:graphicFrame macro="">
      <xdr:nvGraphicFramePr>
        <xdr:cNvPr id="2" name="Chart 1">
          <a:extLst>
            <a:ext uri="{FF2B5EF4-FFF2-40B4-BE49-F238E27FC236}">
              <a16:creationId xmlns:a16="http://schemas.microsoft.com/office/drawing/2014/main" id="{65027695-A80C-4A56-9E9D-646853850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66</xdr:row>
      <xdr:rowOff>0</xdr:rowOff>
    </xdr:from>
    <xdr:to>
      <xdr:col>13</xdr:col>
      <xdr:colOff>165100</xdr:colOff>
      <xdr:row>80</xdr:row>
      <xdr:rowOff>165100</xdr:rowOff>
    </xdr:to>
    <xdr:graphicFrame macro="">
      <xdr:nvGraphicFramePr>
        <xdr:cNvPr id="3" name="Chart 2">
          <a:extLst>
            <a:ext uri="{FF2B5EF4-FFF2-40B4-BE49-F238E27FC236}">
              <a16:creationId xmlns:a16="http://schemas.microsoft.com/office/drawing/2014/main" id="{10F41D88-102C-4280-A87C-7F616E880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86</xdr:row>
      <xdr:rowOff>0</xdr:rowOff>
    </xdr:from>
    <xdr:to>
      <xdr:col>19</xdr:col>
      <xdr:colOff>158750</xdr:colOff>
      <xdr:row>100</xdr:row>
      <xdr:rowOff>165100</xdr:rowOff>
    </xdr:to>
    <xdr:graphicFrame macro="">
      <xdr:nvGraphicFramePr>
        <xdr:cNvPr id="4" name="Chart 3">
          <a:extLst>
            <a:ext uri="{FF2B5EF4-FFF2-40B4-BE49-F238E27FC236}">
              <a16:creationId xmlns:a16="http://schemas.microsoft.com/office/drawing/2014/main" id="{E8A12895-5D5F-4C58-87C4-458DE944B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144</xdr:row>
      <xdr:rowOff>0</xdr:rowOff>
    </xdr:from>
    <xdr:to>
      <xdr:col>6</xdr:col>
      <xdr:colOff>552450</xdr:colOff>
      <xdr:row>158</xdr:row>
      <xdr:rowOff>165100</xdr:rowOff>
    </xdr:to>
    <xdr:graphicFrame macro="">
      <xdr:nvGraphicFramePr>
        <xdr:cNvPr id="5" name="Chart 4">
          <a:extLst>
            <a:ext uri="{FF2B5EF4-FFF2-40B4-BE49-F238E27FC236}">
              <a16:creationId xmlns:a16="http://schemas.microsoft.com/office/drawing/2014/main" id="{4A65A2BA-8639-4C1D-A259-410996F3C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cratleos-my.sharepoint.com/personal/sa350006_ncratleos_com/Documents/Desktop/excel/P.R.SOWMIYA%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shtags"/>
      <sheetName val="Posts"/>
      <sheetName val="Engagement Summary"/>
      <sheetName val="Campaign"/>
      <sheetName val="Task 2"/>
      <sheetName val="Task 3"/>
      <sheetName val="Task 4"/>
      <sheetName val="Task 5"/>
      <sheetName val="Task 6"/>
    </sheetNames>
    <sheetDataSet>
      <sheetData sheetId="0"/>
      <sheetData sheetId="1"/>
      <sheetData sheetId="2"/>
      <sheetData sheetId="3"/>
      <sheetData sheetId="4"/>
      <sheetData sheetId="5"/>
      <sheetData sheetId="6"/>
      <sheetData sheetId="7">
        <row r="41">
          <cell r="C41" t="str">
            <v>Growth</v>
          </cell>
        </row>
        <row r="42">
          <cell r="B42" t="str">
            <v>CybertruckLaunch</v>
          </cell>
          <cell r="C42">
            <v>13523</v>
          </cell>
        </row>
        <row r="43">
          <cell r="B43" t="str">
            <v>SustainabilityDrive</v>
          </cell>
          <cell r="C43">
            <v>16078</v>
          </cell>
        </row>
        <row r="44">
          <cell r="B44" t="str">
            <v>ModelYCampaign</v>
          </cell>
          <cell r="C44">
            <v>11092</v>
          </cell>
        </row>
        <row r="45">
          <cell r="B45" t="str">
            <v>FSDUpdate</v>
          </cell>
          <cell r="C45">
            <v>10087</v>
          </cell>
        </row>
      </sheetData>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R, Soumiya" refreshedDate="46111.784443634257" createdVersion="7" refreshedVersion="7" minRefreshableVersion="3" recordCount="339" xr:uid="{838B0C44-C73E-4890-A80F-50FF6CAAEC23}">
  <cacheSource type="worksheet">
    <worksheetSource name="Posts"/>
  </cacheSource>
  <cacheFields count="15">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Engagement" numFmtId="0">
      <sharedItems containsSemiMixedTypes="0" containsString="0" containsNumber="1" containsInteger="1" minValue="315" maxValue="6278"/>
    </cacheField>
    <cacheField name="Engagement Rate" numFmtId="10">
      <sharedItems containsSemiMixedTypes="0" containsString="0" containsNumber="1" minValue="5.2551586421122697E-2" maxValue="1.8129251700680271"/>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 name="Campaign_Name" numFmtId="0">
      <sharedItems count="5">
        <s v="CybertruckLaunch"/>
        <s v="ModelYCampaign"/>
        <s v="FSDUpdate"/>
        <s v="SustainabilityDrive"/>
        <s v="NA"/>
      </sharedItems>
    </cacheField>
  </cacheFields>
  <extLst>
    <ext xmlns:x14="http://schemas.microsoft.com/office/spreadsheetml/2009/9/main" uri="{725AE2AE-9491-48be-B2B4-4EB974FC3084}">
      <x14:pivotCacheDefinition pivotCacheId="10159685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R, Soumiya" refreshedDate="46111.798289004633" createdVersion="7" refreshedVersion="7" minRefreshableVersion="3" recordCount="200" xr:uid="{35EC95F8-6B92-4CC7-BB6E-DA086E0CADC1}">
  <cacheSource type="worksheet">
    <worksheetSource name="Engagement_Summary"/>
  </cacheSource>
  <cacheFields count="10">
    <cacheField name="Week_Start_Date" numFmtId="14">
      <sharedItems containsSemiMixedTypes="0" containsNonDate="0" containsDate="1" containsString="0" minDate="2024-06-03T00:00:00" maxDate="2025-05-13T00:00:00"/>
    </cacheField>
    <cacheField name="Week" numFmtId="1">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Growth" numFmtId="0">
      <sharedItems containsSemiMixedTypes="0" containsString="0" containsNumber="1" containsInteger="1" minValue="-337" maxValue="1881"/>
    </cacheField>
    <cacheField name="Total_Followers" numFmtId="0">
      <sharedItems containsSemiMixedTypes="0" containsString="0" containsNumber="1" containsInteger="1" minValue="11435" maxValue="496982"/>
    </cacheField>
    <cacheField name="Growth Rate" numFmtId="10">
      <sharedItems containsSemiMixedTypes="0" containsString="0" containsNumber="1" minValue="-4.0819787301048958E-3" maxValue="0.10825114265095021"/>
    </cacheField>
    <cacheField name="Engagement_Rate2"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1989"/>
    <n v="9.0759753593429152E-2"/>
    <n v="21675"/>
    <n v="15"/>
    <x v="0"/>
    <x v="0"/>
  </r>
  <r>
    <s v="P001"/>
    <x v="0"/>
    <d v="2024-12-23T00:00:00"/>
    <x v="0"/>
    <s v="Check out our latest reel on twitter!"/>
    <n v="1461"/>
    <n v="184"/>
    <n v="344"/>
    <n v="21915"/>
    <n v="1989"/>
    <n v="9.0759753593429152E-2"/>
    <n v="21675"/>
    <n v="15"/>
    <x v="1"/>
    <x v="0"/>
  </r>
  <r>
    <s v="P002"/>
    <x v="0"/>
    <d v="2025-04-03T00:00:00"/>
    <x v="1"/>
    <s v="Check out our latest text on twitter!"/>
    <n v="4054"/>
    <n v="389"/>
    <n v="493"/>
    <n v="64864"/>
    <n v="4936"/>
    <n v="7.6097681302417369E-2"/>
    <n v="64383"/>
    <n v="117"/>
    <x v="2"/>
    <x v="1"/>
  </r>
  <r>
    <s v="P002"/>
    <x v="0"/>
    <d v="2025-04-03T00:00:00"/>
    <x v="1"/>
    <s v="Check out our latest text on twitter!"/>
    <n v="4054"/>
    <n v="389"/>
    <n v="493"/>
    <n v="64864"/>
    <n v="4936"/>
    <n v="7.6097681302417369E-2"/>
    <n v="64383"/>
    <n v="117"/>
    <x v="3"/>
    <x v="1"/>
  </r>
  <r>
    <s v="P003"/>
    <x v="1"/>
    <d v="2025-05-12T00:00:00"/>
    <x v="0"/>
    <s v="Check out our latest reel on youtube!"/>
    <n v="2795"/>
    <n v="105"/>
    <n v="49"/>
    <n v="53105"/>
    <n v="2949"/>
    <n v="5.5531494209584788E-2"/>
    <n v="52307"/>
    <n v="204"/>
    <x v="2"/>
    <x v="2"/>
  </r>
  <r>
    <s v="P004"/>
    <x v="2"/>
    <d v="2024-08-12T00:00:00"/>
    <x v="2"/>
    <s v="Check out our latest story on instagram!"/>
    <n v="2404"/>
    <n v="363"/>
    <n v="138"/>
    <n v="19232"/>
    <n v="2905"/>
    <n v="0.15105033277870217"/>
    <n v="18636"/>
    <n v="128"/>
    <x v="4"/>
    <x v="3"/>
  </r>
  <r>
    <s v="P005"/>
    <x v="1"/>
    <d v="2024-06-26T00:00:00"/>
    <x v="0"/>
    <s v="Check out our latest reel on youtube!"/>
    <n v="3557"/>
    <n v="687"/>
    <n v="424"/>
    <n v="71140"/>
    <n v="4668"/>
    <n v="6.5617093055946027E-2"/>
    <n v="70701"/>
    <n v="224"/>
    <x v="4"/>
    <x v="0"/>
  </r>
  <r>
    <s v="P005"/>
    <x v="1"/>
    <d v="2024-06-26T00:00:00"/>
    <x v="0"/>
    <s v="Check out our latest reel on youtube!"/>
    <n v="3557"/>
    <n v="687"/>
    <n v="424"/>
    <n v="71140"/>
    <n v="4668"/>
    <n v="6.5617093055946027E-2"/>
    <n v="70701"/>
    <n v="224"/>
    <x v="2"/>
    <x v="0"/>
  </r>
  <r>
    <s v="P006"/>
    <x v="3"/>
    <d v="2024-10-31T00:00:00"/>
    <x v="3"/>
    <s v="Check out our latest carousel on facebook!"/>
    <n v="2945"/>
    <n v="930"/>
    <n v="355"/>
    <n v="23560"/>
    <n v="4230"/>
    <n v="0.17954159592529711"/>
    <n v="23275"/>
    <n v="256"/>
    <x v="2"/>
    <x v="1"/>
  </r>
  <r>
    <s v="P007"/>
    <x v="0"/>
    <d v="2024-06-24T00:00:00"/>
    <x v="3"/>
    <s v="Check out our latest carousel on twitter!"/>
    <n v="3860"/>
    <n v="201"/>
    <n v="279"/>
    <n v="61760"/>
    <n v="4340"/>
    <n v="7.0272020725388601E-2"/>
    <n v="61660"/>
    <n v="235"/>
    <x v="2"/>
    <x v="1"/>
  </r>
  <r>
    <s v="P008"/>
    <x v="1"/>
    <d v="2024-07-13T00:00:00"/>
    <x v="4"/>
    <s v="Check out our latest image on youtube!"/>
    <n v="3929"/>
    <n v="262"/>
    <n v="278"/>
    <n v="43219"/>
    <n v="4469"/>
    <n v="0.10340359564080613"/>
    <n v="42841"/>
    <n v="39"/>
    <x v="4"/>
    <x v="3"/>
  </r>
  <r>
    <s v="P009"/>
    <x v="3"/>
    <d v="2024-08-30T00:00:00"/>
    <x v="1"/>
    <s v="Check out our latest text on facebook!"/>
    <n v="3784"/>
    <n v="808"/>
    <n v="404"/>
    <n v="56760"/>
    <n v="4996"/>
    <n v="8.8019732205778717E-2"/>
    <n v="56343"/>
    <n v="131"/>
    <x v="2"/>
    <x v="1"/>
  </r>
  <r>
    <s v="P010"/>
    <x v="3"/>
    <d v="2025-03-11T00:00:00"/>
    <x v="4"/>
    <s v="Check out our latest image on facebook!"/>
    <n v="4241"/>
    <n v="902"/>
    <n v="47"/>
    <n v="72097"/>
    <n v="5190"/>
    <n v="7.198635172059864E-2"/>
    <n v="71598"/>
    <n v="167"/>
    <x v="2"/>
    <x v="1"/>
  </r>
  <r>
    <s v="P011"/>
    <x v="2"/>
    <d v="2025-02-02T00:00:00"/>
    <x v="2"/>
    <s v="Check out our latest story on instagram!"/>
    <n v="1792"/>
    <n v="614"/>
    <n v="497"/>
    <n v="25088"/>
    <n v="2903"/>
    <n v="0.11571269132653061"/>
    <n v="24675"/>
    <n v="65"/>
    <x v="0"/>
    <x v="3"/>
  </r>
  <r>
    <s v="P012"/>
    <x v="3"/>
    <d v="2024-07-21T00:00:00"/>
    <x v="0"/>
    <s v="Check out our latest reel on facebook!"/>
    <n v="1946"/>
    <n v="686"/>
    <n v="377"/>
    <n v="23352"/>
    <n v="3009"/>
    <n v="0.12885405960945528"/>
    <n v="22982"/>
    <n v="213"/>
    <x v="0"/>
    <x v="2"/>
  </r>
  <r>
    <s v="P013"/>
    <x v="1"/>
    <d v="2024-11-18T00:00:00"/>
    <x v="3"/>
    <s v="Check out our latest carousel on youtube!"/>
    <n v="1171"/>
    <n v="286"/>
    <n v="231"/>
    <n v="22249"/>
    <n v="1688"/>
    <n v="7.5868578363072495E-2"/>
    <n v="21282"/>
    <n v="114"/>
    <x v="4"/>
    <x v="0"/>
  </r>
  <r>
    <s v="P014"/>
    <x v="3"/>
    <d v="2025-02-16T00:00:00"/>
    <x v="2"/>
    <s v="Check out our latest story on facebook!"/>
    <n v="4242"/>
    <n v="555"/>
    <n v="131"/>
    <n v="33936"/>
    <n v="4928"/>
    <n v="0.14521452145214522"/>
    <n v="33802"/>
    <n v="265"/>
    <x v="0"/>
    <x v="4"/>
  </r>
  <r>
    <s v="P015"/>
    <x v="3"/>
    <d v="2024-10-24T00:00:00"/>
    <x v="5"/>
    <s v="Check out our latest video on facebook!"/>
    <n v="3888"/>
    <n v="604"/>
    <n v="128"/>
    <n v="77760"/>
    <n v="4620"/>
    <n v="5.941358024691358E-2"/>
    <n v="77167"/>
    <n v="20"/>
    <x v="0"/>
    <x v="0"/>
  </r>
  <r>
    <s v="P016"/>
    <x v="3"/>
    <d v="2024-08-26T00:00:00"/>
    <x v="1"/>
    <s v="Check out our latest text on facebook!"/>
    <n v="3452"/>
    <n v="377"/>
    <n v="360"/>
    <n v="55232"/>
    <n v="4189"/>
    <n v="7.5843713789107758E-2"/>
    <n v="55075"/>
    <n v="87"/>
    <x v="0"/>
    <x v="2"/>
  </r>
  <r>
    <s v="P017"/>
    <x v="3"/>
    <d v="2025-05-05T00:00:00"/>
    <x v="1"/>
    <s v="Check out our latest text on facebook!"/>
    <n v="4441"/>
    <n v="511"/>
    <n v="70"/>
    <n v="53292"/>
    <n v="5022"/>
    <n v="9.4235532537716729E-2"/>
    <n v="53082"/>
    <n v="159"/>
    <x v="4"/>
    <x v="3"/>
  </r>
  <r>
    <s v="P018"/>
    <x v="2"/>
    <d v="2024-08-19T00:00:00"/>
    <x v="0"/>
    <s v="Check out our latest reel on instagram!"/>
    <n v="3000"/>
    <n v="382"/>
    <n v="325"/>
    <n v="36000"/>
    <n v="3707"/>
    <n v="0.10297222222222223"/>
    <n v="35819"/>
    <n v="19"/>
    <x v="0"/>
    <x v="0"/>
  </r>
  <r>
    <s v="P019"/>
    <x v="2"/>
    <d v="2024-06-23T00:00:00"/>
    <x v="5"/>
    <s v="Check out our latest video on instagram!"/>
    <n v="1071"/>
    <n v="519"/>
    <n v="22"/>
    <n v="16065"/>
    <n v="1612"/>
    <n v="0.10034235916588857"/>
    <n v="15865"/>
    <n v="103"/>
    <x v="2"/>
    <x v="3"/>
  </r>
  <r>
    <s v="P020"/>
    <x v="2"/>
    <d v="2024-09-09T00:00:00"/>
    <x v="3"/>
    <s v="Check out our latest carousel on instagram!"/>
    <n v="4054"/>
    <n v="488"/>
    <n v="373"/>
    <n v="77026"/>
    <n v="4915"/>
    <n v="6.3809622724794221E-2"/>
    <n v="76881"/>
    <n v="25"/>
    <x v="2"/>
    <x v="0"/>
  </r>
  <r>
    <s v="P021"/>
    <x v="2"/>
    <d v="2025-01-04T00:00:00"/>
    <x v="0"/>
    <s v="Check out our latest reel on instagram!"/>
    <n v="4838"/>
    <n v="640"/>
    <n v="128"/>
    <n v="72570"/>
    <n v="5606"/>
    <n v="7.7249552156538517E-2"/>
    <n v="72396"/>
    <n v="83"/>
    <x v="0"/>
    <x v="3"/>
  </r>
  <r>
    <s v="P022"/>
    <x v="3"/>
    <d v="2025-02-27T00:00:00"/>
    <x v="1"/>
    <s v="Check out our latest text on facebook!"/>
    <n v="1570"/>
    <n v="187"/>
    <n v="260"/>
    <n v="25120"/>
    <n v="2017"/>
    <n v="8.0294585987261149E-2"/>
    <n v="24613"/>
    <n v="133"/>
    <x v="2"/>
    <x v="3"/>
  </r>
  <r>
    <s v="P023"/>
    <x v="3"/>
    <d v="2024-11-06T00:00:00"/>
    <x v="5"/>
    <s v="Check out our latest video on facebook!"/>
    <n v="1606"/>
    <n v="547"/>
    <n v="316"/>
    <n v="32120"/>
    <n v="2469"/>
    <n v="7.6867995018679955E-2"/>
    <n v="31736"/>
    <n v="225"/>
    <x v="2"/>
    <x v="1"/>
  </r>
  <r>
    <s v="P023"/>
    <x v="3"/>
    <d v="2024-11-06T00:00:00"/>
    <x v="5"/>
    <s v="Check out our latest video on facebook!"/>
    <n v="1606"/>
    <n v="547"/>
    <n v="316"/>
    <n v="32120"/>
    <n v="2469"/>
    <n v="7.6867995018679955E-2"/>
    <n v="31736"/>
    <n v="225"/>
    <x v="1"/>
    <x v="1"/>
  </r>
  <r>
    <s v="P024"/>
    <x v="3"/>
    <d v="2025-01-23T00:00:00"/>
    <x v="5"/>
    <s v="Check out our latest video on facebook!"/>
    <n v="3961"/>
    <n v="761"/>
    <n v="131"/>
    <n v="67337"/>
    <n v="4853"/>
    <n v="7.2070332803659209E-2"/>
    <n v="66615"/>
    <n v="161"/>
    <x v="0"/>
    <x v="2"/>
  </r>
  <r>
    <s v="P025"/>
    <x v="0"/>
    <d v="2025-04-10T00:00:00"/>
    <x v="3"/>
    <s v="Check out our latest carousel on twitter!"/>
    <n v="3128"/>
    <n v="211"/>
    <n v="197"/>
    <n v="59432"/>
    <n v="3536"/>
    <n v="5.9496567505720827E-2"/>
    <n v="59182"/>
    <n v="238"/>
    <x v="4"/>
    <x v="4"/>
  </r>
  <r>
    <s v="P026"/>
    <x v="1"/>
    <d v="2025-04-05T00:00:00"/>
    <x v="0"/>
    <s v="Check out our latest reel on youtube!"/>
    <n v="3009"/>
    <n v="413"/>
    <n v="358"/>
    <n v="42126"/>
    <n v="3780"/>
    <n v="8.9730807577268201E-2"/>
    <n v="41309"/>
    <n v="211"/>
    <x v="0"/>
    <x v="1"/>
  </r>
  <r>
    <s v="P027"/>
    <x v="1"/>
    <d v="2024-09-17T00:00:00"/>
    <x v="1"/>
    <s v="Check out our latest text on youtube!"/>
    <n v="2076"/>
    <n v="195"/>
    <n v="104"/>
    <n v="33216"/>
    <n v="2375"/>
    <n v="7.1501685934489398E-2"/>
    <n v="32244"/>
    <n v="51"/>
    <x v="0"/>
    <x v="3"/>
  </r>
  <r>
    <s v="P028"/>
    <x v="2"/>
    <d v="2025-03-04T00:00:00"/>
    <x v="5"/>
    <s v="Check out our latest video on instagram!"/>
    <n v="432"/>
    <n v="624"/>
    <n v="123"/>
    <n v="6912"/>
    <n v="1179"/>
    <n v="0.17057291666666666"/>
    <n v="6259"/>
    <n v="79"/>
    <x v="0"/>
    <x v="3"/>
  </r>
  <r>
    <s v="P029"/>
    <x v="2"/>
    <d v="2025-01-31T00:00:00"/>
    <x v="3"/>
    <s v="Check out our latest carousel on instagram!"/>
    <n v="2566"/>
    <n v="118"/>
    <n v="37"/>
    <n v="12830"/>
    <n v="2721"/>
    <n v="0.21208106001558846"/>
    <n v="12264"/>
    <n v="221"/>
    <x v="0"/>
    <x v="2"/>
  </r>
  <r>
    <s v="P030"/>
    <x v="2"/>
    <d v="2025-02-25T00:00:00"/>
    <x v="5"/>
    <s v="Check out our latest video on instagram!"/>
    <n v="3095"/>
    <n v="39"/>
    <n v="78"/>
    <n v="55710"/>
    <n v="3212"/>
    <n v="5.7655717106444085E-2"/>
    <n v="54808"/>
    <n v="93"/>
    <x v="4"/>
    <x v="4"/>
  </r>
  <r>
    <s v="P031"/>
    <x v="2"/>
    <d v="2024-12-16T00:00:00"/>
    <x v="1"/>
    <s v="Check out our latest text on instagram!"/>
    <n v="438"/>
    <n v="153"/>
    <n v="275"/>
    <n v="3066"/>
    <n v="866"/>
    <n v="0.28245270711024134"/>
    <n v="2701"/>
    <n v="282"/>
    <x v="2"/>
    <x v="1"/>
  </r>
  <r>
    <s v="P032"/>
    <x v="0"/>
    <d v="2024-07-31T00:00:00"/>
    <x v="3"/>
    <s v="Check out our latest carousel on twitter!"/>
    <n v="2278"/>
    <n v="10"/>
    <n v="321"/>
    <n v="13668"/>
    <n v="2609"/>
    <n v="0.19088381621305239"/>
    <n v="12676"/>
    <n v="275"/>
    <x v="4"/>
    <x v="0"/>
  </r>
  <r>
    <s v="P033"/>
    <x v="3"/>
    <d v="2024-08-21T00:00:00"/>
    <x v="4"/>
    <s v="Check out our latest image on facebook!"/>
    <n v="1407"/>
    <n v="400"/>
    <n v="351"/>
    <n v="16884"/>
    <n v="2158"/>
    <n v="0.12781331438047855"/>
    <n v="15954"/>
    <n v="113"/>
    <x v="2"/>
    <x v="0"/>
  </r>
  <r>
    <s v="P034"/>
    <x v="3"/>
    <d v="2025-03-26T00:00:00"/>
    <x v="1"/>
    <s v="Check out our latest text on facebook!"/>
    <n v="1652"/>
    <n v="89"/>
    <n v="357"/>
    <n v="29736"/>
    <n v="2098"/>
    <n v="7.055421038471886E-2"/>
    <n v="28771"/>
    <n v="215"/>
    <x v="2"/>
    <x v="2"/>
  </r>
  <r>
    <s v="P035"/>
    <x v="2"/>
    <d v="2024-11-30T00:00:00"/>
    <x v="5"/>
    <s v="Check out our latest video on instagram!"/>
    <n v="3775"/>
    <n v="16"/>
    <n v="239"/>
    <n v="33975"/>
    <n v="4030"/>
    <n v="0.11861662987490802"/>
    <n v="33310"/>
    <n v="271"/>
    <x v="0"/>
    <x v="1"/>
  </r>
  <r>
    <s v="P036"/>
    <x v="2"/>
    <d v="2025-04-19T00:00:00"/>
    <x v="2"/>
    <s v="Check out our latest story on instagram!"/>
    <n v="4518"/>
    <n v="285"/>
    <n v="383"/>
    <n v="67770"/>
    <n v="5186"/>
    <n v="7.6523535487678915E-2"/>
    <n v="67621"/>
    <n v="31"/>
    <x v="4"/>
    <x v="1"/>
  </r>
  <r>
    <s v="P037"/>
    <x v="3"/>
    <d v="2025-01-06T00:00:00"/>
    <x v="3"/>
    <s v="Check out our latest carousel on facebook!"/>
    <n v="3024"/>
    <n v="925"/>
    <n v="350"/>
    <n v="24192"/>
    <n v="4299"/>
    <n v="0.17770337301587302"/>
    <n v="23518"/>
    <n v="36"/>
    <x v="4"/>
    <x v="1"/>
  </r>
  <r>
    <s v="P038"/>
    <x v="1"/>
    <d v="2025-02-17T00:00:00"/>
    <x v="0"/>
    <s v="Check out our latest reel on youtube!"/>
    <n v="3138"/>
    <n v="123"/>
    <n v="291"/>
    <n v="28242"/>
    <n v="3552"/>
    <n v="0.12577012959422137"/>
    <n v="27550"/>
    <n v="87"/>
    <x v="2"/>
    <x v="3"/>
  </r>
  <r>
    <s v="P039"/>
    <x v="3"/>
    <d v="2024-11-25T00:00:00"/>
    <x v="4"/>
    <s v="Check out our latest image on facebook!"/>
    <n v="3564"/>
    <n v="629"/>
    <n v="177"/>
    <n v="60588"/>
    <n v="4370"/>
    <n v="7.2126493695121141E-2"/>
    <n v="59627"/>
    <n v="92"/>
    <x v="2"/>
    <x v="4"/>
  </r>
  <r>
    <s v="P040"/>
    <x v="0"/>
    <d v="2025-03-07T00:00:00"/>
    <x v="4"/>
    <s v="Check out our latest image on twitter!"/>
    <n v="4750"/>
    <n v="151"/>
    <n v="415"/>
    <n v="38000"/>
    <n v="5316"/>
    <n v="0.13989473684210527"/>
    <n v="37792"/>
    <n v="299"/>
    <x v="4"/>
    <x v="3"/>
  </r>
  <r>
    <s v="P041"/>
    <x v="2"/>
    <d v="2025-03-08T00:00:00"/>
    <x v="0"/>
    <s v="Check out our latest reel on instagram!"/>
    <n v="456"/>
    <n v="629"/>
    <n v="428"/>
    <n v="8208"/>
    <n v="1513"/>
    <n v="0.18433235867446393"/>
    <n v="7377"/>
    <n v="205"/>
    <x v="0"/>
    <x v="3"/>
  </r>
  <r>
    <s v="P042"/>
    <x v="1"/>
    <d v="2025-03-05T00:00:00"/>
    <x v="0"/>
    <s v="Check out our latest reel on youtube!"/>
    <n v="1543"/>
    <n v="820"/>
    <n v="333"/>
    <n v="12344"/>
    <n v="2696"/>
    <n v="0.21840570317563188"/>
    <n v="11496"/>
    <n v="241"/>
    <x v="4"/>
    <x v="4"/>
  </r>
  <r>
    <s v="P043"/>
    <x v="2"/>
    <d v="2024-12-14T00:00:00"/>
    <x v="3"/>
    <s v="Check out our latest carousel on instagram!"/>
    <n v="2174"/>
    <n v="658"/>
    <n v="15"/>
    <n v="13044"/>
    <n v="2847"/>
    <n v="0.21826126954921804"/>
    <n v="12206"/>
    <n v="137"/>
    <x v="2"/>
    <x v="2"/>
  </r>
  <r>
    <s v="P044"/>
    <x v="0"/>
    <d v="2025-03-02T00:00:00"/>
    <x v="4"/>
    <s v="Check out our latest image on twitter!"/>
    <n v="2358"/>
    <n v="784"/>
    <n v="344"/>
    <n v="35370"/>
    <n v="3486"/>
    <n v="9.8558100084817649E-2"/>
    <n v="34475"/>
    <n v="216"/>
    <x v="2"/>
    <x v="4"/>
  </r>
  <r>
    <s v="P045"/>
    <x v="3"/>
    <d v="2024-11-01T00:00:00"/>
    <x v="5"/>
    <s v="Check out our latest video on facebook!"/>
    <n v="3371"/>
    <n v="106"/>
    <n v="327"/>
    <n v="50565"/>
    <n v="3804"/>
    <n v="7.5229902106199939E-2"/>
    <n v="49816"/>
    <n v="176"/>
    <x v="0"/>
    <x v="0"/>
  </r>
  <r>
    <s v="P046"/>
    <x v="0"/>
    <d v="2025-05-02T00:00:00"/>
    <x v="5"/>
    <s v="Check out our latest video on twitter!"/>
    <n v="1108"/>
    <n v="177"/>
    <n v="212"/>
    <n v="8864"/>
    <n v="1497"/>
    <n v="0.16888537906137185"/>
    <n v="8710"/>
    <n v="97"/>
    <x v="2"/>
    <x v="3"/>
  </r>
  <r>
    <s v="P047"/>
    <x v="0"/>
    <d v="2025-02-24T00:00:00"/>
    <x v="3"/>
    <s v="Check out our latest carousel on twitter!"/>
    <n v="2704"/>
    <n v="752"/>
    <n v="153"/>
    <n v="21632"/>
    <n v="3609"/>
    <n v="0.16683616863905326"/>
    <n v="20792"/>
    <n v="127"/>
    <x v="0"/>
    <x v="4"/>
  </r>
  <r>
    <s v="P048"/>
    <x v="0"/>
    <d v="2025-03-11T00:00:00"/>
    <x v="2"/>
    <s v="Check out our latest story on twitter!"/>
    <n v="1950"/>
    <n v="295"/>
    <n v="478"/>
    <n v="37050"/>
    <n v="2723"/>
    <n v="7.349527665317139E-2"/>
    <n v="36272"/>
    <n v="119"/>
    <x v="2"/>
    <x v="4"/>
  </r>
  <r>
    <s v="P049"/>
    <x v="0"/>
    <d v="2024-06-10T00:00:00"/>
    <x v="2"/>
    <s v="Check out our latest story on twitter!"/>
    <n v="2164"/>
    <n v="549"/>
    <n v="274"/>
    <n v="28132"/>
    <n v="2987"/>
    <n v="0.10617801791554102"/>
    <n v="27361"/>
    <n v="177"/>
    <x v="2"/>
    <x v="3"/>
  </r>
  <r>
    <s v="P050"/>
    <x v="1"/>
    <d v="2024-07-03T00:00:00"/>
    <x v="2"/>
    <s v="Check out our latest story on youtube!"/>
    <n v="2754"/>
    <n v="130"/>
    <n v="90"/>
    <n v="22032"/>
    <n v="2974"/>
    <n v="0.13498547567175018"/>
    <n v="21288"/>
    <n v="112"/>
    <x v="2"/>
    <x v="2"/>
  </r>
  <r>
    <s v="P051"/>
    <x v="3"/>
    <d v="2024-06-13T00:00:00"/>
    <x v="3"/>
    <s v="Check out our latest carousel on facebook!"/>
    <n v="2200"/>
    <n v="504"/>
    <n v="239"/>
    <n v="37400"/>
    <n v="2943"/>
    <n v="7.8689839572192513E-2"/>
    <n v="36938"/>
    <n v="225"/>
    <x v="0"/>
    <x v="1"/>
  </r>
  <r>
    <s v="P052"/>
    <x v="3"/>
    <d v="2025-01-03T00:00:00"/>
    <x v="4"/>
    <s v="Check out our latest image on facebook!"/>
    <n v="947"/>
    <n v="338"/>
    <n v="350"/>
    <n v="10417"/>
    <n v="1635"/>
    <n v="0.1569549774407219"/>
    <n v="9730"/>
    <n v="34"/>
    <x v="2"/>
    <x v="3"/>
  </r>
  <r>
    <s v="P053"/>
    <x v="1"/>
    <d v="2025-02-24T00:00:00"/>
    <x v="3"/>
    <s v="Check out our latest carousel on youtube!"/>
    <n v="804"/>
    <n v="639"/>
    <n v="43"/>
    <n v="4020"/>
    <n v="1486"/>
    <n v="0.36965174129353234"/>
    <n v="3144"/>
    <n v="11"/>
    <x v="4"/>
    <x v="4"/>
  </r>
  <r>
    <s v="P053"/>
    <x v="1"/>
    <d v="2025-02-24T00:00:00"/>
    <x v="3"/>
    <s v="Check out our latest carousel on youtube!"/>
    <n v="804"/>
    <n v="639"/>
    <n v="43"/>
    <n v="4020"/>
    <n v="1486"/>
    <n v="0.36965174129353234"/>
    <n v="3144"/>
    <n v="11"/>
    <x v="3"/>
    <x v="4"/>
  </r>
  <r>
    <s v="P054"/>
    <x v="1"/>
    <d v="2025-03-13T00:00:00"/>
    <x v="3"/>
    <s v="Check out our latest carousel on youtube!"/>
    <n v="1686"/>
    <n v="904"/>
    <n v="472"/>
    <n v="18546"/>
    <n v="3062"/>
    <n v="0.16510298716704411"/>
    <n v="18171"/>
    <n v="52"/>
    <x v="0"/>
    <x v="1"/>
  </r>
  <r>
    <s v="P055"/>
    <x v="3"/>
    <d v="2024-06-17T00:00:00"/>
    <x v="4"/>
    <s v="Check out our latest image on facebook!"/>
    <n v="1226"/>
    <n v="119"/>
    <n v="7"/>
    <n v="14712"/>
    <n v="1352"/>
    <n v="9.1897770527460579E-2"/>
    <n v="14049"/>
    <n v="123"/>
    <x v="4"/>
    <x v="3"/>
  </r>
  <r>
    <s v="P056"/>
    <x v="3"/>
    <d v="2024-12-18T00:00:00"/>
    <x v="3"/>
    <s v="Check out our latest carousel on facebook!"/>
    <n v="2946"/>
    <n v="498"/>
    <n v="367"/>
    <n v="29460"/>
    <n v="3811"/>
    <n v="0.12936184657162253"/>
    <n v="28527"/>
    <n v="60"/>
    <x v="0"/>
    <x v="2"/>
  </r>
  <r>
    <s v="P057"/>
    <x v="0"/>
    <d v="2024-10-21T00:00:00"/>
    <x v="5"/>
    <s v="Check out our latest video on twitter!"/>
    <n v="2825"/>
    <n v="535"/>
    <n v="295"/>
    <n v="45200"/>
    <n v="3655"/>
    <n v="8.0862831858407078E-2"/>
    <n v="44739"/>
    <n v="169"/>
    <x v="2"/>
    <x v="0"/>
  </r>
  <r>
    <s v="P058"/>
    <x v="2"/>
    <d v="2025-04-15T00:00:00"/>
    <x v="0"/>
    <s v="Check out our latest reel on instagram!"/>
    <n v="103"/>
    <n v="770"/>
    <n v="19"/>
    <n v="1030"/>
    <n v="892"/>
    <n v="0.86601941747572819"/>
    <n v="410"/>
    <n v="262"/>
    <x v="2"/>
    <x v="3"/>
  </r>
  <r>
    <s v="P059"/>
    <x v="2"/>
    <d v="2024-06-22T00:00:00"/>
    <x v="1"/>
    <s v="Check out our latest text on instagram!"/>
    <n v="2180"/>
    <n v="263"/>
    <n v="387"/>
    <n v="30520"/>
    <n v="2830"/>
    <n v="9.2726081258191345E-2"/>
    <n v="30059"/>
    <n v="174"/>
    <x v="4"/>
    <x v="4"/>
  </r>
  <r>
    <s v="P060"/>
    <x v="2"/>
    <d v="2025-01-28T00:00:00"/>
    <x v="5"/>
    <s v="Check out our latest video on instagram!"/>
    <n v="904"/>
    <n v="973"/>
    <n v="63"/>
    <n v="11752"/>
    <n v="1940"/>
    <n v="0.1650782845473111"/>
    <n v="11580"/>
    <n v="84"/>
    <x v="4"/>
    <x v="2"/>
  </r>
  <r>
    <s v="P060"/>
    <x v="2"/>
    <d v="2025-01-28T00:00:00"/>
    <x v="5"/>
    <s v="Check out our latest video on instagram!"/>
    <n v="904"/>
    <n v="973"/>
    <n v="63"/>
    <n v="11752"/>
    <n v="1940"/>
    <n v="0.1650782845473111"/>
    <n v="11580"/>
    <n v="84"/>
    <x v="2"/>
    <x v="2"/>
  </r>
  <r>
    <s v="P060"/>
    <x v="2"/>
    <d v="2025-01-28T00:00:00"/>
    <x v="5"/>
    <s v="Check out our latest video on instagram!"/>
    <n v="904"/>
    <n v="973"/>
    <n v="63"/>
    <n v="11752"/>
    <n v="1940"/>
    <n v="0.1650782845473111"/>
    <n v="11580"/>
    <n v="84"/>
    <x v="1"/>
    <x v="2"/>
  </r>
  <r>
    <s v="P061"/>
    <x v="0"/>
    <d v="2024-09-05T00:00:00"/>
    <x v="5"/>
    <s v="Check out our latest video on twitter!"/>
    <n v="4886"/>
    <n v="983"/>
    <n v="409"/>
    <n v="43974"/>
    <n v="6278"/>
    <n v="0.14276618001546368"/>
    <n v="43239"/>
    <n v="65"/>
    <x v="2"/>
    <x v="0"/>
  </r>
  <r>
    <s v="P062"/>
    <x v="0"/>
    <d v="2024-11-22T00:00:00"/>
    <x v="3"/>
    <s v="Check out our latest carousel on twitter!"/>
    <n v="53"/>
    <n v="81"/>
    <n v="379"/>
    <n v="954"/>
    <n v="513"/>
    <n v="0.53773584905660377"/>
    <n v="7"/>
    <n v="148"/>
    <x v="2"/>
    <x v="2"/>
  </r>
  <r>
    <s v="P063"/>
    <x v="0"/>
    <d v="2024-07-31T00:00:00"/>
    <x v="3"/>
    <s v="Check out our latest carousel on twitter!"/>
    <n v="4507"/>
    <n v="217"/>
    <n v="13"/>
    <n v="90140"/>
    <n v="4737"/>
    <n v="5.2551586421122697E-2"/>
    <n v="89591"/>
    <n v="125"/>
    <x v="0"/>
    <x v="2"/>
  </r>
  <r>
    <s v="P064"/>
    <x v="3"/>
    <d v="2024-08-17T00:00:00"/>
    <x v="4"/>
    <s v="Check out our latest image on facebook!"/>
    <n v="2878"/>
    <n v="248"/>
    <n v="416"/>
    <n v="43170"/>
    <n v="3542"/>
    <n v="8.2047718322909427E-2"/>
    <n v="42667"/>
    <n v="75"/>
    <x v="0"/>
    <x v="2"/>
  </r>
  <r>
    <s v="P065"/>
    <x v="2"/>
    <d v="2025-03-28T00:00:00"/>
    <x v="2"/>
    <s v="Check out our latest story on instagram!"/>
    <n v="1881"/>
    <n v="501"/>
    <n v="99"/>
    <n v="20691"/>
    <n v="2481"/>
    <n v="0.11990720603160794"/>
    <n v="19987"/>
    <n v="289"/>
    <x v="4"/>
    <x v="4"/>
  </r>
  <r>
    <s v="P066"/>
    <x v="0"/>
    <d v="2024-07-26T00:00:00"/>
    <x v="3"/>
    <s v="Check out our latest carousel on twitter!"/>
    <n v="432"/>
    <n v="171"/>
    <n v="280"/>
    <n v="3024"/>
    <n v="883"/>
    <n v="0.29199735449735448"/>
    <n v="2285"/>
    <n v="184"/>
    <x v="4"/>
    <x v="0"/>
  </r>
  <r>
    <s v="P067"/>
    <x v="3"/>
    <d v="2025-03-29T00:00:00"/>
    <x v="3"/>
    <s v="Check out our latest carousel on facebook!"/>
    <n v="4712"/>
    <n v="568"/>
    <n v="127"/>
    <n v="84816"/>
    <n v="5407"/>
    <n v="6.3749764195434822E-2"/>
    <n v="84691"/>
    <n v="100"/>
    <x v="4"/>
    <x v="2"/>
  </r>
  <r>
    <s v="P068"/>
    <x v="2"/>
    <d v="2024-12-08T00:00:00"/>
    <x v="2"/>
    <s v="Check out our latest story on instagram!"/>
    <n v="2610"/>
    <n v="126"/>
    <n v="288"/>
    <n v="15660"/>
    <n v="3024"/>
    <n v="0.19310344827586207"/>
    <n v="15145"/>
    <n v="73"/>
    <x v="4"/>
    <x v="4"/>
  </r>
  <r>
    <s v="P069"/>
    <x v="0"/>
    <d v="2025-03-08T00:00:00"/>
    <x v="1"/>
    <s v="Check out our latest text on twitter!"/>
    <n v="1292"/>
    <n v="626"/>
    <n v="496"/>
    <n v="25840"/>
    <n v="2414"/>
    <n v="9.3421052631578946E-2"/>
    <n v="24916"/>
    <n v="149"/>
    <x v="0"/>
    <x v="2"/>
  </r>
  <r>
    <s v="P070"/>
    <x v="3"/>
    <d v="2025-04-02T00:00:00"/>
    <x v="5"/>
    <s v="Check out our latest video on facebook!"/>
    <n v="199"/>
    <n v="772"/>
    <n v="400"/>
    <n v="3582"/>
    <n v="1371"/>
    <n v="0.38274706867671693"/>
    <n v="2988"/>
    <n v="43"/>
    <x v="2"/>
    <x v="4"/>
  </r>
  <r>
    <s v="P071"/>
    <x v="1"/>
    <d v="2024-09-02T00:00:00"/>
    <x v="3"/>
    <s v="Check out our latest carousel on youtube!"/>
    <n v="2551"/>
    <n v="915"/>
    <n v="205"/>
    <n v="30612"/>
    <n v="3671"/>
    <n v="0.1199202926956749"/>
    <n v="30360"/>
    <n v="227"/>
    <x v="2"/>
    <x v="1"/>
  </r>
  <r>
    <s v="P072"/>
    <x v="1"/>
    <d v="2025-03-03T00:00:00"/>
    <x v="0"/>
    <s v="Check out our latest reel on youtube!"/>
    <n v="296"/>
    <n v="60"/>
    <n v="141"/>
    <n v="5624"/>
    <n v="497"/>
    <n v="8.837126600284495E-2"/>
    <n v="5239"/>
    <n v="88"/>
    <x v="4"/>
    <x v="1"/>
  </r>
  <r>
    <s v="P073"/>
    <x v="3"/>
    <d v="2024-10-18T00:00:00"/>
    <x v="2"/>
    <s v="Check out our latest story on facebook!"/>
    <n v="4126"/>
    <n v="426"/>
    <n v="486"/>
    <n v="78394"/>
    <n v="5038"/>
    <n v="6.4265122330790625E-2"/>
    <n v="77798"/>
    <n v="88"/>
    <x v="0"/>
    <x v="3"/>
  </r>
  <r>
    <s v="P074"/>
    <x v="1"/>
    <d v="2024-10-28T00:00:00"/>
    <x v="0"/>
    <s v="Check out our latest reel on youtube!"/>
    <n v="1855"/>
    <n v="200"/>
    <n v="174"/>
    <n v="16695"/>
    <n v="2229"/>
    <n v="0.13351302785265048"/>
    <n v="16330"/>
    <n v="123"/>
    <x v="2"/>
    <x v="2"/>
  </r>
  <r>
    <s v="P075"/>
    <x v="2"/>
    <d v="2024-08-01T00:00:00"/>
    <x v="0"/>
    <s v="Check out our latest reel on instagram!"/>
    <n v="1674"/>
    <n v="929"/>
    <n v="37"/>
    <n v="21762"/>
    <n v="2640"/>
    <n v="0.12131237937689551"/>
    <n v="20998"/>
    <n v="255"/>
    <x v="2"/>
    <x v="3"/>
  </r>
  <r>
    <s v="P076"/>
    <x v="0"/>
    <d v="2024-11-07T00:00:00"/>
    <x v="2"/>
    <s v="Check out our latest story on twitter!"/>
    <n v="1121"/>
    <n v="135"/>
    <n v="18"/>
    <n v="15694"/>
    <n v="1274"/>
    <n v="8.1177520071364848E-2"/>
    <n v="14957"/>
    <n v="99"/>
    <x v="2"/>
    <x v="3"/>
  </r>
  <r>
    <s v="P077"/>
    <x v="3"/>
    <d v="2025-03-04T00:00:00"/>
    <x v="2"/>
    <s v="Check out our latest story on facebook!"/>
    <n v="1249"/>
    <n v="116"/>
    <n v="420"/>
    <n v="8743"/>
    <n v="1785"/>
    <n v="0.20416333066453163"/>
    <n v="8538"/>
    <n v="63"/>
    <x v="2"/>
    <x v="4"/>
  </r>
  <r>
    <s v="P078"/>
    <x v="0"/>
    <d v="2024-06-17T00:00:00"/>
    <x v="4"/>
    <s v="Check out our latest image on twitter!"/>
    <n v="954"/>
    <n v="324"/>
    <n v="288"/>
    <n v="19080"/>
    <n v="1566"/>
    <n v="8.2075471698113203E-2"/>
    <n v="18859"/>
    <n v="21"/>
    <x v="0"/>
    <x v="3"/>
  </r>
  <r>
    <s v="P079"/>
    <x v="2"/>
    <d v="2024-10-09T00:00:00"/>
    <x v="3"/>
    <s v="Check out our latest carousel on instagram!"/>
    <n v="3068"/>
    <n v="137"/>
    <n v="329"/>
    <n v="39884"/>
    <n v="3534"/>
    <n v="8.860696018453515E-2"/>
    <n v="39404"/>
    <n v="266"/>
    <x v="4"/>
    <x v="1"/>
  </r>
  <r>
    <s v="P080"/>
    <x v="2"/>
    <d v="2024-06-13T00:00:00"/>
    <x v="2"/>
    <s v="Check out our latest story on instagram!"/>
    <n v="2103"/>
    <n v="892"/>
    <n v="103"/>
    <n v="39957"/>
    <n v="3098"/>
    <n v="7.7533348349475686E-2"/>
    <n v="39466"/>
    <n v="28"/>
    <x v="0"/>
    <x v="4"/>
  </r>
  <r>
    <s v="P081"/>
    <x v="2"/>
    <d v="2024-10-19T00:00:00"/>
    <x v="2"/>
    <s v="Check out our latest story on instagram!"/>
    <n v="1816"/>
    <n v="29"/>
    <n v="41"/>
    <n v="19976"/>
    <n v="1886"/>
    <n v="9.4413295955146179E-2"/>
    <n v="19262"/>
    <n v="283"/>
    <x v="2"/>
    <x v="2"/>
  </r>
  <r>
    <s v="P082"/>
    <x v="2"/>
    <d v="2024-07-24T00:00:00"/>
    <x v="4"/>
    <s v="Check out our latest image on instagram!"/>
    <n v="725"/>
    <n v="88"/>
    <n v="428"/>
    <n v="14500"/>
    <n v="1241"/>
    <n v="8.558620689655172E-2"/>
    <n v="13637"/>
    <n v="200"/>
    <x v="0"/>
    <x v="2"/>
  </r>
  <r>
    <s v="P082"/>
    <x v="2"/>
    <d v="2024-07-24T00:00:00"/>
    <x v="4"/>
    <s v="Check out our latest image on instagram!"/>
    <n v="725"/>
    <n v="88"/>
    <n v="428"/>
    <n v="14500"/>
    <n v="1241"/>
    <n v="8.558620689655172E-2"/>
    <n v="13637"/>
    <n v="200"/>
    <x v="2"/>
    <x v="2"/>
  </r>
  <r>
    <s v="P082"/>
    <x v="2"/>
    <d v="2024-07-24T00:00:00"/>
    <x v="4"/>
    <s v="Check out our latest image on instagram!"/>
    <n v="725"/>
    <n v="88"/>
    <n v="428"/>
    <n v="14500"/>
    <n v="1241"/>
    <n v="8.558620689655172E-2"/>
    <n v="13637"/>
    <n v="200"/>
    <x v="1"/>
    <x v="2"/>
  </r>
  <r>
    <s v="P083"/>
    <x v="1"/>
    <d v="2024-10-15T00:00:00"/>
    <x v="5"/>
    <s v="Check out our latest video on youtube!"/>
    <n v="1094"/>
    <n v="472"/>
    <n v="21"/>
    <n v="9846"/>
    <n v="1587"/>
    <n v="0.16118220597196831"/>
    <n v="9609"/>
    <n v="112"/>
    <x v="4"/>
    <x v="4"/>
  </r>
  <r>
    <s v="P084"/>
    <x v="3"/>
    <d v="2024-12-09T00:00:00"/>
    <x v="4"/>
    <s v="Check out our latest image on facebook!"/>
    <n v="1841"/>
    <n v="851"/>
    <n v="342"/>
    <n v="34979"/>
    <n v="3034"/>
    <n v="8.6737756939878216E-2"/>
    <n v="34154"/>
    <n v="255"/>
    <x v="0"/>
    <x v="3"/>
  </r>
  <r>
    <s v="P085"/>
    <x v="2"/>
    <d v="2025-04-19T00:00:00"/>
    <x v="4"/>
    <s v="Check out our latest image on instagram!"/>
    <n v="4177"/>
    <n v="569"/>
    <n v="55"/>
    <n v="25062"/>
    <n v="4801"/>
    <n v="0.19156491900087783"/>
    <n v="24847"/>
    <n v="230"/>
    <x v="0"/>
    <x v="0"/>
  </r>
  <r>
    <s v="P086"/>
    <x v="1"/>
    <d v="2025-01-27T00:00:00"/>
    <x v="1"/>
    <s v="Check out our latest text on youtube!"/>
    <n v="3428"/>
    <n v="305"/>
    <n v="85"/>
    <n v="58276"/>
    <n v="3818"/>
    <n v="6.5515821264328367E-2"/>
    <n v="58052"/>
    <n v="242"/>
    <x v="4"/>
    <x v="3"/>
  </r>
  <r>
    <s v="P086"/>
    <x v="1"/>
    <d v="2025-01-27T00:00:00"/>
    <x v="1"/>
    <s v="Check out our latest text on youtube!"/>
    <n v="3428"/>
    <n v="305"/>
    <n v="85"/>
    <n v="58276"/>
    <n v="3818"/>
    <n v="6.5515821264328367E-2"/>
    <n v="58052"/>
    <n v="242"/>
    <x v="3"/>
    <x v="3"/>
  </r>
  <r>
    <s v="P087"/>
    <x v="0"/>
    <d v="2024-06-06T00:00:00"/>
    <x v="5"/>
    <s v="Check out our latest video on twitter!"/>
    <n v="1436"/>
    <n v="765"/>
    <n v="496"/>
    <n v="12924"/>
    <n v="2697"/>
    <n v="0.20868152274837512"/>
    <n v="12701"/>
    <n v="197"/>
    <x v="0"/>
    <x v="2"/>
  </r>
  <r>
    <s v="P088"/>
    <x v="3"/>
    <d v="2024-07-07T00:00:00"/>
    <x v="2"/>
    <s v="Check out our latest story on facebook!"/>
    <n v="302"/>
    <n v="47"/>
    <n v="430"/>
    <n v="5738"/>
    <n v="779"/>
    <n v="0.13576158940397351"/>
    <n v="4890"/>
    <n v="25"/>
    <x v="2"/>
    <x v="3"/>
  </r>
  <r>
    <s v="P089"/>
    <x v="0"/>
    <d v="2025-01-10T00:00:00"/>
    <x v="4"/>
    <s v="Check out our latest image on twitter!"/>
    <n v="2214"/>
    <n v="249"/>
    <n v="152"/>
    <n v="15498"/>
    <n v="2615"/>
    <n v="0.16873144921925409"/>
    <n v="14800"/>
    <n v="180"/>
    <x v="4"/>
    <x v="4"/>
  </r>
  <r>
    <s v="P090"/>
    <x v="2"/>
    <d v="2024-06-03T00:00:00"/>
    <x v="4"/>
    <s v="Check out our latest image on instagram!"/>
    <n v="3861"/>
    <n v="960"/>
    <n v="101"/>
    <n v="69498"/>
    <n v="4922"/>
    <n v="7.0822181933293038E-2"/>
    <n v="68817"/>
    <n v="297"/>
    <x v="2"/>
    <x v="3"/>
  </r>
  <r>
    <s v="P091"/>
    <x v="3"/>
    <d v="2025-03-24T00:00:00"/>
    <x v="4"/>
    <s v="Check out our latest image on facebook!"/>
    <n v="1263"/>
    <n v="397"/>
    <n v="357"/>
    <n v="25260"/>
    <n v="2017"/>
    <n v="7.984956452889945E-2"/>
    <n v="24615"/>
    <n v="137"/>
    <x v="4"/>
    <x v="3"/>
  </r>
  <r>
    <s v="P092"/>
    <x v="0"/>
    <d v="2024-10-21T00:00:00"/>
    <x v="2"/>
    <s v="Check out our latest story on twitter!"/>
    <n v="3801"/>
    <n v="967"/>
    <n v="401"/>
    <n v="38010"/>
    <n v="5169"/>
    <n v="0.13599052880820836"/>
    <n v="37625"/>
    <n v="236"/>
    <x v="0"/>
    <x v="2"/>
  </r>
  <r>
    <s v="P093"/>
    <x v="2"/>
    <d v="2024-12-11T00:00:00"/>
    <x v="5"/>
    <s v="Check out our latest video on instagram!"/>
    <n v="1431"/>
    <n v="951"/>
    <n v="26"/>
    <n v="8586"/>
    <n v="2408"/>
    <n v="0.28045655718611695"/>
    <n v="8396"/>
    <n v="150"/>
    <x v="4"/>
    <x v="2"/>
  </r>
  <r>
    <s v="P094"/>
    <x v="2"/>
    <d v="2024-11-07T00:00:00"/>
    <x v="4"/>
    <s v="Check out our latest image on instagram!"/>
    <n v="2647"/>
    <n v="304"/>
    <n v="170"/>
    <n v="18529"/>
    <n v="3121"/>
    <n v="0.16843866371633656"/>
    <n v="17841"/>
    <n v="46"/>
    <x v="0"/>
    <x v="2"/>
  </r>
  <r>
    <s v="P095"/>
    <x v="2"/>
    <d v="2024-11-08T00:00:00"/>
    <x v="1"/>
    <s v="Check out our latest text on instagram!"/>
    <n v="3182"/>
    <n v="559"/>
    <n v="160"/>
    <n v="57276"/>
    <n v="3901"/>
    <n v="6.8108806480899509E-2"/>
    <n v="56890"/>
    <n v="163"/>
    <x v="0"/>
    <x v="3"/>
  </r>
  <r>
    <s v="P096"/>
    <x v="0"/>
    <d v="2024-09-10T00:00:00"/>
    <x v="4"/>
    <s v="Check out our latest image on twitter!"/>
    <n v="1238"/>
    <n v="366"/>
    <n v="444"/>
    <n v="19808"/>
    <n v="2048"/>
    <n v="0.10339256865912763"/>
    <n v="19334"/>
    <n v="123"/>
    <x v="0"/>
    <x v="4"/>
  </r>
  <r>
    <s v="P097"/>
    <x v="2"/>
    <d v="2024-08-13T00:00:00"/>
    <x v="4"/>
    <s v="Check out our latest image on instagram!"/>
    <n v="4739"/>
    <n v="527"/>
    <n v="135"/>
    <n v="61607"/>
    <n v="5401"/>
    <n v="8.7668609086629767E-2"/>
    <n v="61333"/>
    <n v="36"/>
    <x v="2"/>
    <x v="1"/>
  </r>
  <r>
    <s v="P097"/>
    <x v="2"/>
    <d v="2024-08-13T00:00:00"/>
    <x v="4"/>
    <s v="Check out our latest image on instagram!"/>
    <n v="4739"/>
    <n v="527"/>
    <n v="135"/>
    <n v="61607"/>
    <n v="5401"/>
    <n v="8.7668609086629767E-2"/>
    <n v="61333"/>
    <n v="36"/>
    <x v="1"/>
    <x v="1"/>
  </r>
  <r>
    <s v="P098"/>
    <x v="0"/>
    <d v="2024-06-10T00:00:00"/>
    <x v="2"/>
    <s v="Check out our latest story on twitter!"/>
    <n v="1575"/>
    <n v="771"/>
    <n v="486"/>
    <n v="25200"/>
    <n v="2832"/>
    <n v="0.11238095238095239"/>
    <n v="24826"/>
    <n v="17"/>
    <x v="0"/>
    <x v="3"/>
  </r>
  <r>
    <s v="P099"/>
    <x v="1"/>
    <d v="2024-07-02T00:00:00"/>
    <x v="3"/>
    <s v="Check out our latest carousel on youtube!"/>
    <n v="4171"/>
    <n v="548"/>
    <n v="86"/>
    <n v="66736"/>
    <n v="4805"/>
    <n v="7.2000119875329657E-2"/>
    <n v="66634"/>
    <n v="173"/>
    <x v="0"/>
    <x v="2"/>
  </r>
  <r>
    <s v="P100"/>
    <x v="1"/>
    <d v="2025-02-10T00:00:00"/>
    <x v="5"/>
    <s v="Check out our latest video on youtube!"/>
    <n v="1766"/>
    <n v="92"/>
    <n v="424"/>
    <n v="24724"/>
    <n v="2282"/>
    <n v="9.2298980747451867E-2"/>
    <n v="24333"/>
    <n v="52"/>
    <x v="4"/>
    <x v="4"/>
  </r>
  <r>
    <s v="P101"/>
    <x v="1"/>
    <d v="2024-10-18T00:00:00"/>
    <x v="5"/>
    <s v="Check out our latest video on youtube!"/>
    <n v="4450"/>
    <n v="983"/>
    <n v="143"/>
    <n v="75650"/>
    <n v="5576"/>
    <n v="7.3707865168539333E-2"/>
    <n v="75008"/>
    <n v="12"/>
    <x v="0"/>
    <x v="2"/>
  </r>
  <r>
    <s v="P102"/>
    <x v="0"/>
    <d v="2024-09-18T00:00:00"/>
    <x v="0"/>
    <s v="Check out our latest reel on twitter!"/>
    <n v="1000"/>
    <n v="978"/>
    <n v="162"/>
    <n v="6000"/>
    <n v="2140"/>
    <n v="0.35666666666666669"/>
    <n v="5221"/>
    <n v="223"/>
    <x v="4"/>
    <x v="1"/>
  </r>
  <r>
    <s v="P103"/>
    <x v="3"/>
    <d v="2024-06-11T00:00:00"/>
    <x v="4"/>
    <s v="Check out our latest image on facebook!"/>
    <n v="3689"/>
    <n v="48"/>
    <n v="306"/>
    <n v="40579"/>
    <n v="4043"/>
    <n v="9.9632815002833983E-2"/>
    <n v="39588"/>
    <n v="212"/>
    <x v="4"/>
    <x v="1"/>
  </r>
  <r>
    <s v="P104"/>
    <x v="1"/>
    <d v="2025-03-23T00:00:00"/>
    <x v="2"/>
    <s v="Check out our latest story on youtube!"/>
    <n v="3655"/>
    <n v="568"/>
    <n v="286"/>
    <n v="32895"/>
    <n v="4509"/>
    <n v="0.13707250341997265"/>
    <n v="32015"/>
    <n v="199"/>
    <x v="2"/>
    <x v="2"/>
  </r>
  <r>
    <s v="P105"/>
    <x v="2"/>
    <d v="2024-06-14T00:00:00"/>
    <x v="3"/>
    <s v="Check out our latest carousel on instagram!"/>
    <n v="498"/>
    <n v="38"/>
    <n v="42"/>
    <n v="4482"/>
    <n v="578"/>
    <n v="0.12896028558679162"/>
    <n v="3647"/>
    <n v="32"/>
    <x v="0"/>
    <x v="0"/>
  </r>
  <r>
    <s v="P106"/>
    <x v="2"/>
    <d v="2025-02-04T00:00:00"/>
    <x v="4"/>
    <s v="Check out our latest image on instagram!"/>
    <n v="4619"/>
    <n v="821"/>
    <n v="499"/>
    <n v="69285"/>
    <n v="5939"/>
    <n v="8.5718409468138843E-2"/>
    <n v="69141"/>
    <n v="298"/>
    <x v="2"/>
    <x v="3"/>
  </r>
  <r>
    <s v="P107"/>
    <x v="1"/>
    <d v="2024-06-21T00:00:00"/>
    <x v="4"/>
    <s v="Check out our latest image on youtube!"/>
    <n v="4832"/>
    <n v="893"/>
    <n v="10"/>
    <n v="91808"/>
    <n v="5735"/>
    <n v="6.2467323109097243E-2"/>
    <n v="91296"/>
    <n v="182"/>
    <x v="2"/>
    <x v="4"/>
  </r>
  <r>
    <s v="P108"/>
    <x v="0"/>
    <d v="2025-03-25T00:00:00"/>
    <x v="5"/>
    <s v="Check out our latest video on twitter!"/>
    <n v="4050"/>
    <n v="871"/>
    <n v="347"/>
    <n v="52650"/>
    <n v="5268"/>
    <n v="0.10005698005698006"/>
    <n v="51755"/>
    <n v="209"/>
    <x v="2"/>
    <x v="1"/>
  </r>
  <r>
    <s v="P109"/>
    <x v="0"/>
    <d v="2024-08-08T00:00:00"/>
    <x v="2"/>
    <s v="Check out our latest story on twitter!"/>
    <n v="3649"/>
    <n v="215"/>
    <n v="413"/>
    <n v="25543"/>
    <n v="4277"/>
    <n v="0.16744313510550835"/>
    <n v="24963"/>
    <n v="167"/>
    <x v="0"/>
    <x v="2"/>
  </r>
  <r>
    <s v="P110"/>
    <x v="2"/>
    <d v="2024-07-29T00:00:00"/>
    <x v="0"/>
    <s v="Check out our latest reel on instagram!"/>
    <n v="3523"/>
    <n v="753"/>
    <n v="482"/>
    <n v="38753"/>
    <n v="4758"/>
    <n v="0.12277759141227776"/>
    <n v="38579"/>
    <n v="270"/>
    <x v="4"/>
    <x v="1"/>
  </r>
  <r>
    <s v="P111"/>
    <x v="1"/>
    <d v="2024-11-23T00:00:00"/>
    <x v="4"/>
    <s v="Check out our latest image on youtube!"/>
    <n v="2719"/>
    <n v="17"/>
    <n v="285"/>
    <n v="40785"/>
    <n v="3021"/>
    <n v="7.4071349760941527E-2"/>
    <n v="40281"/>
    <n v="40"/>
    <x v="2"/>
    <x v="1"/>
  </r>
  <r>
    <s v="P112"/>
    <x v="0"/>
    <d v="2024-10-05T00:00:00"/>
    <x v="2"/>
    <s v="Check out our latest story on twitter!"/>
    <n v="1957"/>
    <n v="877"/>
    <n v="238"/>
    <n v="17613"/>
    <n v="3072"/>
    <n v="0.17441662408448305"/>
    <n v="16865"/>
    <n v="297"/>
    <x v="0"/>
    <x v="2"/>
  </r>
  <r>
    <s v="P113"/>
    <x v="0"/>
    <d v="2024-10-02T00:00:00"/>
    <x v="3"/>
    <s v="Check out our latest carousel on twitter!"/>
    <n v="4419"/>
    <n v="236"/>
    <n v="369"/>
    <n v="44190"/>
    <n v="5024"/>
    <n v="0.11369088028965829"/>
    <n v="43582"/>
    <n v="10"/>
    <x v="4"/>
    <x v="0"/>
  </r>
  <r>
    <s v="P114"/>
    <x v="0"/>
    <d v="2024-11-14T00:00:00"/>
    <x v="2"/>
    <s v="Check out our latest story on twitter!"/>
    <n v="4000"/>
    <n v="689"/>
    <n v="488"/>
    <n v="40000"/>
    <n v="5177"/>
    <n v="0.12942500000000001"/>
    <n v="39569"/>
    <n v="44"/>
    <x v="0"/>
    <x v="0"/>
  </r>
  <r>
    <s v="P115"/>
    <x v="0"/>
    <d v="2025-05-11T00:00:00"/>
    <x v="4"/>
    <s v="Check out our latest image on twitter!"/>
    <n v="2493"/>
    <n v="97"/>
    <n v="44"/>
    <n v="42381"/>
    <n v="2634"/>
    <n v="6.2150491965739366E-2"/>
    <n v="41991"/>
    <n v="242"/>
    <x v="2"/>
    <x v="3"/>
  </r>
  <r>
    <s v="P115"/>
    <x v="0"/>
    <d v="2025-05-11T00:00:00"/>
    <x v="4"/>
    <s v="Check out our latest image on twitter!"/>
    <n v="2493"/>
    <n v="97"/>
    <n v="44"/>
    <n v="42381"/>
    <n v="2634"/>
    <n v="6.2150491965739366E-2"/>
    <n v="41991"/>
    <n v="242"/>
    <x v="1"/>
    <x v="3"/>
  </r>
  <r>
    <s v="P116"/>
    <x v="1"/>
    <d v="2025-03-18T00:00:00"/>
    <x v="0"/>
    <s v="Check out our latest reel on youtube!"/>
    <n v="3704"/>
    <n v="186"/>
    <n v="458"/>
    <n v="25928"/>
    <n v="4348"/>
    <n v="0.16769515581610614"/>
    <n v="25081"/>
    <n v="131"/>
    <x v="2"/>
    <x v="4"/>
  </r>
  <r>
    <s v="P117"/>
    <x v="0"/>
    <d v="2024-11-04T00:00:00"/>
    <x v="4"/>
    <s v="Check out our latest image on twitter!"/>
    <n v="1606"/>
    <n v="451"/>
    <n v="405"/>
    <n v="20878"/>
    <n v="2462"/>
    <n v="0.11792317271769326"/>
    <n v="20190"/>
    <n v="219"/>
    <x v="4"/>
    <x v="3"/>
  </r>
  <r>
    <s v="P118"/>
    <x v="3"/>
    <d v="2024-11-04T00:00:00"/>
    <x v="4"/>
    <s v="Check out our latest image on facebook!"/>
    <n v="4551"/>
    <n v="714"/>
    <n v="207"/>
    <n v="68265"/>
    <n v="5472"/>
    <n v="8.0158206987475278E-2"/>
    <n v="67754"/>
    <n v="57"/>
    <x v="0"/>
    <x v="2"/>
  </r>
  <r>
    <s v="P119"/>
    <x v="2"/>
    <d v="2025-02-07T00:00:00"/>
    <x v="0"/>
    <s v="Check out our latest reel on instagram!"/>
    <n v="1970"/>
    <n v="675"/>
    <n v="478"/>
    <n v="9850"/>
    <n v="3123"/>
    <n v="0.31705583756345179"/>
    <n v="8924"/>
    <n v="117"/>
    <x v="0"/>
    <x v="4"/>
  </r>
  <r>
    <s v="P120"/>
    <x v="3"/>
    <d v="2024-10-21T00:00:00"/>
    <x v="2"/>
    <s v="Check out our latest story on facebook!"/>
    <n v="780"/>
    <n v="928"/>
    <n v="301"/>
    <n v="8580"/>
    <n v="2009"/>
    <n v="0.23414918414918415"/>
    <n v="8081"/>
    <n v="91"/>
    <x v="4"/>
    <x v="2"/>
  </r>
  <r>
    <s v="P121"/>
    <x v="2"/>
    <d v="2024-07-29T00:00:00"/>
    <x v="2"/>
    <s v="Check out our latest story on instagram!"/>
    <n v="498"/>
    <n v="701"/>
    <n v="412"/>
    <n v="4980"/>
    <n v="1611"/>
    <n v="0.32349397590361445"/>
    <n v="4185"/>
    <n v="185"/>
    <x v="0"/>
    <x v="4"/>
  </r>
  <r>
    <s v="P122"/>
    <x v="2"/>
    <d v="2024-10-02T00:00:00"/>
    <x v="1"/>
    <s v="Check out our latest text on instagram!"/>
    <n v="3432"/>
    <n v="869"/>
    <n v="123"/>
    <n v="54912"/>
    <n v="4424"/>
    <n v="8.0565268065268064E-2"/>
    <n v="53916"/>
    <n v="264"/>
    <x v="4"/>
    <x v="1"/>
  </r>
  <r>
    <s v="P123"/>
    <x v="2"/>
    <d v="2024-06-14T00:00:00"/>
    <x v="2"/>
    <s v="Check out our latest story on instagram!"/>
    <n v="4363"/>
    <n v="649"/>
    <n v="140"/>
    <n v="21815"/>
    <n v="5152"/>
    <n v="0.23616777446710979"/>
    <n v="21481"/>
    <n v="157"/>
    <x v="4"/>
    <x v="0"/>
  </r>
  <r>
    <s v="P124"/>
    <x v="1"/>
    <d v="2025-04-06T00:00:00"/>
    <x v="3"/>
    <s v="Check out our latest carousel on youtube!"/>
    <n v="736"/>
    <n v="771"/>
    <n v="225"/>
    <n v="5152"/>
    <n v="1732"/>
    <n v="0.33618012422360249"/>
    <n v="4706"/>
    <n v="19"/>
    <x v="4"/>
    <x v="0"/>
  </r>
  <r>
    <s v="P125"/>
    <x v="0"/>
    <d v="2024-09-08T00:00:00"/>
    <x v="3"/>
    <s v="Check out our latest carousel on twitter!"/>
    <n v="3811"/>
    <n v="866"/>
    <n v="216"/>
    <n v="34299"/>
    <n v="4893"/>
    <n v="0.14265722032712325"/>
    <n v="34088"/>
    <n v="233"/>
    <x v="2"/>
    <x v="3"/>
  </r>
  <r>
    <s v="P126"/>
    <x v="2"/>
    <d v="2025-03-28T00:00:00"/>
    <x v="3"/>
    <s v="Check out our latest carousel on instagram!"/>
    <n v="4158"/>
    <n v="167"/>
    <n v="241"/>
    <n v="45738"/>
    <n v="4566"/>
    <n v="9.9829463465827106E-2"/>
    <n v="45183"/>
    <n v="142"/>
    <x v="0"/>
    <x v="4"/>
  </r>
  <r>
    <s v="P127"/>
    <x v="3"/>
    <d v="2025-01-27T00:00:00"/>
    <x v="0"/>
    <s v="Check out our latest reel on facebook!"/>
    <n v="3452"/>
    <n v="652"/>
    <n v="442"/>
    <n v="65588"/>
    <n v="4546"/>
    <n v="6.9311459413307311E-2"/>
    <n v="65049"/>
    <n v="158"/>
    <x v="0"/>
    <x v="2"/>
  </r>
  <r>
    <s v="P128"/>
    <x v="0"/>
    <d v="2025-01-10T00:00:00"/>
    <x v="4"/>
    <s v="Check out our latest image on twitter!"/>
    <n v="3092"/>
    <n v="106"/>
    <n v="291"/>
    <n v="27828"/>
    <n v="3489"/>
    <n v="0.12537731780940059"/>
    <n v="27217"/>
    <n v="102"/>
    <x v="0"/>
    <x v="4"/>
  </r>
  <r>
    <s v="P129"/>
    <x v="0"/>
    <d v="2024-07-21T00:00:00"/>
    <x v="1"/>
    <s v="Check out our latest text on twitter!"/>
    <n v="2147"/>
    <n v="430"/>
    <n v="393"/>
    <n v="17176"/>
    <n v="2970"/>
    <n v="0.17291569632044715"/>
    <n v="16483"/>
    <n v="170"/>
    <x v="2"/>
    <x v="4"/>
  </r>
  <r>
    <s v="P130"/>
    <x v="1"/>
    <d v="2024-09-29T00:00:00"/>
    <x v="0"/>
    <s v="Check out our latest reel on youtube!"/>
    <n v="2936"/>
    <n v="439"/>
    <n v="44"/>
    <n v="38168"/>
    <n v="3419"/>
    <n v="8.9577656675749323E-2"/>
    <n v="37571"/>
    <n v="22"/>
    <x v="4"/>
    <x v="3"/>
  </r>
  <r>
    <s v="P131"/>
    <x v="2"/>
    <d v="2024-10-21T00:00:00"/>
    <x v="0"/>
    <s v="Check out our latest reel on instagram!"/>
    <n v="4840"/>
    <n v="658"/>
    <n v="211"/>
    <n v="43560"/>
    <n v="5709"/>
    <n v="0.13106060606060607"/>
    <n v="43225"/>
    <n v="57"/>
    <x v="0"/>
    <x v="2"/>
  </r>
  <r>
    <s v="P132"/>
    <x v="2"/>
    <d v="2025-03-04T00:00:00"/>
    <x v="2"/>
    <s v="Check out our latest story on instagram!"/>
    <n v="1947"/>
    <n v="842"/>
    <n v="101"/>
    <n v="21417"/>
    <n v="2890"/>
    <n v="0.13493953401503478"/>
    <n v="20967"/>
    <n v="186"/>
    <x v="0"/>
    <x v="1"/>
  </r>
  <r>
    <s v="P133"/>
    <x v="3"/>
    <d v="2025-02-06T00:00:00"/>
    <x v="4"/>
    <s v="Check out our latest image on facebook!"/>
    <n v="2072"/>
    <n v="532"/>
    <n v="71"/>
    <n v="37296"/>
    <n v="2675"/>
    <n v="7.172350922350923E-2"/>
    <n v="36467"/>
    <n v="25"/>
    <x v="2"/>
    <x v="3"/>
  </r>
  <r>
    <s v="P134"/>
    <x v="0"/>
    <d v="2025-04-24T00:00:00"/>
    <x v="0"/>
    <s v="Check out our latest reel on twitter!"/>
    <n v="3731"/>
    <n v="115"/>
    <n v="135"/>
    <n v="55965"/>
    <n v="3981"/>
    <n v="7.1133744304476013E-2"/>
    <n v="55436"/>
    <n v="103"/>
    <x v="2"/>
    <x v="0"/>
  </r>
  <r>
    <s v="P135"/>
    <x v="3"/>
    <d v="2024-11-28T00:00:00"/>
    <x v="1"/>
    <s v="Check out our latest text on facebook!"/>
    <n v="4213"/>
    <n v="253"/>
    <n v="434"/>
    <n v="75834"/>
    <n v="4900"/>
    <n v="6.461481657304112E-2"/>
    <n v="75437"/>
    <n v="272"/>
    <x v="0"/>
    <x v="3"/>
  </r>
  <r>
    <s v="P136"/>
    <x v="2"/>
    <d v="2024-07-11T00:00:00"/>
    <x v="1"/>
    <s v="Check out our latest text on instagram!"/>
    <n v="3134"/>
    <n v="888"/>
    <n v="444"/>
    <n v="21938"/>
    <n v="4466"/>
    <n v="0.20357370772176134"/>
    <n v="21337"/>
    <n v="130"/>
    <x v="4"/>
    <x v="3"/>
  </r>
  <r>
    <s v="P137"/>
    <x v="3"/>
    <d v="2024-07-31T00:00:00"/>
    <x v="5"/>
    <s v="Check out our latest video on facebook!"/>
    <n v="3008"/>
    <n v="94"/>
    <n v="37"/>
    <n v="15040"/>
    <n v="3139"/>
    <n v="0.20871010638297871"/>
    <n v="14639"/>
    <n v="277"/>
    <x v="0"/>
    <x v="4"/>
  </r>
  <r>
    <s v="P138"/>
    <x v="0"/>
    <d v="2025-03-29T00:00:00"/>
    <x v="4"/>
    <s v="Check out our latest image on twitter!"/>
    <n v="305"/>
    <n v="187"/>
    <n v="243"/>
    <n v="4575"/>
    <n v="735"/>
    <n v="0.16065573770491803"/>
    <n v="3704"/>
    <n v="234"/>
    <x v="0"/>
    <x v="2"/>
  </r>
  <r>
    <s v="P139"/>
    <x v="1"/>
    <d v="2024-10-29T00:00:00"/>
    <x v="1"/>
    <s v="Check out our latest text on youtube!"/>
    <n v="2746"/>
    <n v="156"/>
    <n v="203"/>
    <n v="32952"/>
    <n v="3105"/>
    <n v="9.422796795338674E-2"/>
    <n v="32147"/>
    <n v="147"/>
    <x v="4"/>
    <x v="0"/>
  </r>
  <r>
    <s v="P140"/>
    <x v="3"/>
    <d v="2024-07-15T00:00:00"/>
    <x v="4"/>
    <s v="Check out our latest image on facebook!"/>
    <n v="2291"/>
    <n v="78"/>
    <n v="485"/>
    <n v="18328"/>
    <n v="2854"/>
    <n v="0.15571802706241816"/>
    <n v="18101"/>
    <n v="10"/>
    <x v="4"/>
    <x v="1"/>
  </r>
  <r>
    <s v="P140"/>
    <x v="3"/>
    <d v="2024-07-15T00:00:00"/>
    <x v="4"/>
    <s v="Check out our latest image on facebook!"/>
    <n v="2291"/>
    <n v="78"/>
    <n v="485"/>
    <n v="18328"/>
    <n v="2854"/>
    <n v="0.15571802706241816"/>
    <n v="18101"/>
    <n v="10"/>
    <x v="5"/>
    <x v="1"/>
  </r>
  <r>
    <s v="P141"/>
    <x v="0"/>
    <d v="2024-08-31T00:00:00"/>
    <x v="4"/>
    <s v="Check out our latest image on twitter!"/>
    <n v="3170"/>
    <n v="857"/>
    <n v="379"/>
    <n v="19020"/>
    <n v="4406"/>
    <n v="0.2316508937960042"/>
    <n v="18559"/>
    <n v="240"/>
    <x v="0"/>
    <x v="4"/>
  </r>
  <r>
    <s v="P142"/>
    <x v="1"/>
    <d v="2025-03-25T00:00:00"/>
    <x v="2"/>
    <s v="Check out our latest story on youtube!"/>
    <n v="2070"/>
    <n v="275"/>
    <n v="386"/>
    <n v="39330"/>
    <n v="2731"/>
    <n v="6.9438087973557078E-2"/>
    <n v="38627"/>
    <n v="114"/>
    <x v="0"/>
    <x v="3"/>
  </r>
  <r>
    <s v="P143"/>
    <x v="1"/>
    <d v="2024-10-02T00:00:00"/>
    <x v="3"/>
    <s v="Check out our latest carousel on youtube!"/>
    <n v="80"/>
    <n v="362"/>
    <n v="80"/>
    <n v="1040"/>
    <n v="522"/>
    <n v="0.50192307692307692"/>
    <n v="349"/>
    <n v="117"/>
    <x v="2"/>
    <x v="2"/>
  </r>
  <r>
    <s v="P144"/>
    <x v="1"/>
    <d v="2024-10-28T00:00:00"/>
    <x v="2"/>
    <s v="Check out our latest story on youtube!"/>
    <n v="4929"/>
    <n v="749"/>
    <n v="452"/>
    <n v="93651"/>
    <n v="6130"/>
    <n v="6.5455787978772245E-2"/>
    <n v="92810"/>
    <n v="66"/>
    <x v="4"/>
    <x v="3"/>
  </r>
  <r>
    <s v="P145"/>
    <x v="2"/>
    <d v="2024-08-12T00:00:00"/>
    <x v="3"/>
    <s v="Check out our latest carousel on instagram!"/>
    <n v="1878"/>
    <n v="62"/>
    <n v="179"/>
    <n v="37560"/>
    <n v="2119"/>
    <n v="5.6416400425985093E-2"/>
    <n v="36874"/>
    <n v="142"/>
    <x v="2"/>
    <x v="3"/>
  </r>
  <r>
    <s v="P146"/>
    <x v="1"/>
    <d v="2024-06-05T00:00:00"/>
    <x v="0"/>
    <s v="Check out our latest reel on youtube!"/>
    <n v="3065"/>
    <n v="772"/>
    <n v="142"/>
    <n v="18390"/>
    <n v="3979"/>
    <n v="0.21636759108210984"/>
    <n v="17875"/>
    <n v="200"/>
    <x v="4"/>
    <x v="4"/>
  </r>
  <r>
    <s v="P146"/>
    <x v="1"/>
    <d v="2024-06-05T00:00:00"/>
    <x v="0"/>
    <s v="Check out our latest reel on youtube!"/>
    <n v="3065"/>
    <n v="772"/>
    <n v="142"/>
    <n v="18390"/>
    <n v="3979"/>
    <n v="0.21636759108210984"/>
    <n v="17875"/>
    <n v="200"/>
    <x v="1"/>
    <x v="4"/>
  </r>
  <r>
    <s v="P147"/>
    <x v="2"/>
    <d v="2024-10-21T00:00:00"/>
    <x v="0"/>
    <s v="Check out our latest reel on instagram!"/>
    <n v="3256"/>
    <n v="459"/>
    <n v="266"/>
    <n v="26048"/>
    <n v="3981"/>
    <n v="0.15283323095823095"/>
    <n v="25529"/>
    <n v="143"/>
    <x v="2"/>
    <x v="1"/>
  </r>
  <r>
    <s v="P148"/>
    <x v="2"/>
    <d v="2025-04-15T00:00:00"/>
    <x v="5"/>
    <s v="Check out our latest video on instagram!"/>
    <n v="4133"/>
    <n v="466"/>
    <n v="327"/>
    <n v="24798"/>
    <n v="4926"/>
    <n v="0.19864505202032423"/>
    <n v="24620"/>
    <n v="176"/>
    <x v="4"/>
    <x v="3"/>
  </r>
  <r>
    <s v="P149"/>
    <x v="0"/>
    <d v="2024-06-16T00:00:00"/>
    <x v="5"/>
    <s v="Check out our latest video on twitter!"/>
    <n v="1702"/>
    <n v="750"/>
    <n v="179"/>
    <n v="34040"/>
    <n v="2631"/>
    <n v="7.7291421856639245E-2"/>
    <n v="33174"/>
    <n v="76"/>
    <x v="4"/>
    <x v="0"/>
  </r>
  <r>
    <s v="P150"/>
    <x v="1"/>
    <d v="2024-08-22T00:00:00"/>
    <x v="3"/>
    <s v="Check out our latest carousel on youtube!"/>
    <n v="4295"/>
    <n v="853"/>
    <n v="325"/>
    <n v="85900"/>
    <n v="5473"/>
    <n v="6.3713620488940623E-2"/>
    <n v="85788"/>
    <n v="290"/>
    <x v="2"/>
    <x v="3"/>
  </r>
  <r>
    <s v="P151"/>
    <x v="2"/>
    <d v="2024-07-26T00:00:00"/>
    <x v="4"/>
    <s v="Check out our latest image on instagram!"/>
    <n v="3559"/>
    <n v="59"/>
    <n v="289"/>
    <n v="35590"/>
    <n v="3907"/>
    <n v="0.10977802753582468"/>
    <n v="35105"/>
    <n v="122"/>
    <x v="4"/>
    <x v="0"/>
  </r>
  <r>
    <s v="P152"/>
    <x v="3"/>
    <d v="2025-04-22T00:00:00"/>
    <x v="4"/>
    <s v="Check out our latest image on facebook!"/>
    <n v="4804"/>
    <n v="550"/>
    <n v="270"/>
    <n v="28824"/>
    <n v="5624"/>
    <n v="0.19511518179295032"/>
    <n v="28370"/>
    <n v="47"/>
    <x v="4"/>
    <x v="3"/>
  </r>
  <r>
    <s v="P153"/>
    <x v="0"/>
    <d v="2025-01-01T00:00:00"/>
    <x v="5"/>
    <s v="Check out our latest video on twitter!"/>
    <n v="754"/>
    <n v="197"/>
    <n v="257"/>
    <n v="6786"/>
    <n v="1208"/>
    <n v="0.17801355732390214"/>
    <n v="6221"/>
    <n v="212"/>
    <x v="2"/>
    <x v="2"/>
  </r>
  <r>
    <s v="P154"/>
    <x v="2"/>
    <d v="2024-10-09T00:00:00"/>
    <x v="3"/>
    <s v="Check out our latest carousel on instagram!"/>
    <n v="985"/>
    <n v="932"/>
    <n v="287"/>
    <n v="6895"/>
    <n v="2204"/>
    <n v="0.31965192168237855"/>
    <n v="6757"/>
    <n v="64"/>
    <x v="0"/>
    <x v="3"/>
  </r>
  <r>
    <s v="P155"/>
    <x v="1"/>
    <d v="2024-12-21T00:00:00"/>
    <x v="4"/>
    <s v="Check out our latest image on youtube!"/>
    <n v="2283"/>
    <n v="210"/>
    <n v="130"/>
    <n v="22830"/>
    <n v="2623"/>
    <n v="0.11489268506351293"/>
    <n v="22617"/>
    <n v="143"/>
    <x v="0"/>
    <x v="1"/>
  </r>
  <r>
    <s v="P156"/>
    <x v="3"/>
    <d v="2024-10-22T00:00:00"/>
    <x v="3"/>
    <s v="Check out our latest carousel on facebook!"/>
    <n v="3352"/>
    <n v="941"/>
    <n v="482"/>
    <n v="43576"/>
    <n v="4775"/>
    <n v="0.1095786671562328"/>
    <n v="43338"/>
    <n v="240"/>
    <x v="0"/>
    <x v="1"/>
  </r>
  <r>
    <s v="P157"/>
    <x v="1"/>
    <d v="2024-07-23T00:00:00"/>
    <x v="2"/>
    <s v="Check out our latest story on youtube!"/>
    <n v="4775"/>
    <n v="173"/>
    <n v="206"/>
    <n v="47750"/>
    <n v="5154"/>
    <n v="0.10793717277486911"/>
    <n v="47544"/>
    <n v="187"/>
    <x v="0"/>
    <x v="1"/>
  </r>
  <r>
    <s v="P158"/>
    <x v="2"/>
    <d v="2024-08-11T00:00:00"/>
    <x v="2"/>
    <s v="Check out our latest story on instagram!"/>
    <n v="1762"/>
    <n v="405"/>
    <n v="423"/>
    <n v="22906"/>
    <n v="2590"/>
    <n v="0.11307081114118571"/>
    <n v="21925"/>
    <n v="25"/>
    <x v="2"/>
    <x v="0"/>
  </r>
  <r>
    <s v="P159"/>
    <x v="3"/>
    <d v="2024-11-25T00:00:00"/>
    <x v="2"/>
    <s v="Check out our latest story on facebook!"/>
    <n v="2120"/>
    <n v="158"/>
    <n v="488"/>
    <n v="12720"/>
    <n v="2766"/>
    <n v="0.21745283018867925"/>
    <n v="12085"/>
    <n v="17"/>
    <x v="0"/>
    <x v="1"/>
  </r>
  <r>
    <s v="P160"/>
    <x v="0"/>
    <d v="2024-08-24T00:00:00"/>
    <x v="5"/>
    <s v="Check out our latest video on twitter!"/>
    <n v="1082"/>
    <n v="209"/>
    <n v="484"/>
    <n v="19476"/>
    <n v="1775"/>
    <n v="9.1137810638734856E-2"/>
    <n v="18654"/>
    <n v="20"/>
    <x v="2"/>
    <x v="4"/>
  </r>
  <r>
    <s v="P161"/>
    <x v="0"/>
    <d v="2025-02-19T00:00:00"/>
    <x v="1"/>
    <s v="Check out our latest text on twitter!"/>
    <n v="4671"/>
    <n v="876"/>
    <n v="366"/>
    <n v="51381"/>
    <n v="5913"/>
    <n v="0.11508145034156594"/>
    <n v="50565"/>
    <n v="245"/>
    <x v="2"/>
    <x v="3"/>
  </r>
  <r>
    <s v="P162"/>
    <x v="3"/>
    <d v="2025-04-01T00:00:00"/>
    <x v="2"/>
    <s v="Check out our latest story on facebook!"/>
    <n v="3430"/>
    <n v="566"/>
    <n v="164"/>
    <n v="48020"/>
    <n v="4160"/>
    <n v="8.6630570595585168E-2"/>
    <n v="47305"/>
    <n v="120"/>
    <x v="0"/>
    <x v="4"/>
  </r>
  <r>
    <s v="P163"/>
    <x v="2"/>
    <d v="2025-04-08T00:00:00"/>
    <x v="4"/>
    <s v="Check out our latest image on instagram!"/>
    <n v="4501"/>
    <n v="375"/>
    <n v="323"/>
    <n v="22505"/>
    <n v="5199"/>
    <n v="0.23101532992668297"/>
    <n v="21836"/>
    <n v="132"/>
    <x v="2"/>
    <x v="1"/>
  </r>
  <r>
    <s v="P164"/>
    <x v="1"/>
    <d v="2025-02-27T00:00:00"/>
    <x v="1"/>
    <s v="Check out our latest text on youtube!"/>
    <n v="4934"/>
    <n v="971"/>
    <n v="156"/>
    <n v="39472"/>
    <n v="6061"/>
    <n v="0.15355188488042157"/>
    <n v="39025"/>
    <n v="169"/>
    <x v="2"/>
    <x v="3"/>
  </r>
  <r>
    <s v="P164"/>
    <x v="1"/>
    <d v="2025-02-27T00:00:00"/>
    <x v="1"/>
    <s v="Check out our latest text on youtube!"/>
    <n v="4934"/>
    <n v="971"/>
    <n v="156"/>
    <n v="39472"/>
    <n v="6061"/>
    <n v="0.15355188488042157"/>
    <n v="39025"/>
    <n v="169"/>
    <x v="1"/>
    <x v="3"/>
  </r>
  <r>
    <s v="P165"/>
    <x v="0"/>
    <d v="2024-12-11T00:00:00"/>
    <x v="1"/>
    <s v="Check out our latest text on twitter!"/>
    <n v="3239"/>
    <n v="43"/>
    <n v="211"/>
    <n v="22673"/>
    <n v="3493"/>
    <n v="0.15405989502933004"/>
    <n v="22171"/>
    <n v="230"/>
    <x v="2"/>
    <x v="1"/>
  </r>
  <r>
    <s v="P166"/>
    <x v="0"/>
    <d v="2025-02-16T00:00:00"/>
    <x v="0"/>
    <s v="Check out our latest reel on twitter!"/>
    <n v="1076"/>
    <n v="313"/>
    <n v="306"/>
    <n v="11836"/>
    <n v="1695"/>
    <n v="0.14320716458262928"/>
    <n v="11596"/>
    <n v="104"/>
    <x v="0"/>
    <x v="0"/>
  </r>
  <r>
    <s v="P167"/>
    <x v="2"/>
    <d v="2024-11-28T00:00:00"/>
    <x v="1"/>
    <s v="Check out our latest text on instagram!"/>
    <n v="4771"/>
    <n v="818"/>
    <n v="56"/>
    <n v="57252"/>
    <n v="5645"/>
    <n v="9.859917557465242E-2"/>
    <n v="56378"/>
    <n v="150"/>
    <x v="0"/>
    <x v="4"/>
  </r>
  <r>
    <s v="P168"/>
    <x v="3"/>
    <d v="2024-11-12T00:00:00"/>
    <x v="1"/>
    <s v="Check out our latest text on facebook!"/>
    <n v="2418"/>
    <n v="754"/>
    <n v="54"/>
    <n v="43524"/>
    <n v="3226"/>
    <n v="7.412002573292896E-2"/>
    <n v="42743"/>
    <n v="182"/>
    <x v="4"/>
    <x v="0"/>
  </r>
  <r>
    <s v="P169"/>
    <x v="1"/>
    <d v="2024-12-03T00:00:00"/>
    <x v="5"/>
    <s v="Check out our latest video on youtube!"/>
    <n v="3809"/>
    <n v="273"/>
    <n v="200"/>
    <n v="34281"/>
    <n v="4282"/>
    <n v="0.12490884163239112"/>
    <n v="33534"/>
    <n v="83"/>
    <x v="4"/>
    <x v="0"/>
  </r>
  <r>
    <s v="P170"/>
    <x v="0"/>
    <d v="2025-04-28T00:00:00"/>
    <x v="1"/>
    <s v="Check out our latest text on twitter!"/>
    <n v="3577"/>
    <n v="596"/>
    <n v="493"/>
    <n v="67963"/>
    <n v="4666"/>
    <n v="6.8655003457763777E-2"/>
    <n v="67839"/>
    <n v="53"/>
    <x v="2"/>
    <x v="2"/>
  </r>
  <r>
    <s v="P171"/>
    <x v="1"/>
    <d v="2024-12-31T00:00:00"/>
    <x v="5"/>
    <s v="Check out our latest video on youtube!"/>
    <n v="1018"/>
    <n v="447"/>
    <n v="332"/>
    <n v="18324"/>
    <n v="1797"/>
    <n v="9.8068107400130972E-2"/>
    <n v="18164"/>
    <n v="38"/>
    <x v="0"/>
    <x v="1"/>
  </r>
  <r>
    <s v="P172"/>
    <x v="3"/>
    <d v="2024-08-14T00:00:00"/>
    <x v="3"/>
    <s v="Check out our latest carousel on facebook!"/>
    <n v="3073"/>
    <n v="553"/>
    <n v="174"/>
    <n v="52241"/>
    <n v="3800"/>
    <n v="7.2739802071170159E-2"/>
    <n v="51605"/>
    <n v="246"/>
    <x v="4"/>
    <x v="2"/>
  </r>
  <r>
    <s v="P173"/>
    <x v="0"/>
    <d v="2024-12-05T00:00:00"/>
    <x v="5"/>
    <s v="Check out our latest video on twitter!"/>
    <n v="1330"/>
    <n v="925"/>
    <n v="35"/>
    <n v="15960"/>
    <n v="2290"/>
    <n v="0.14348370927318296"/>
    <n v="15379"/>
    <n v="229"/>
    <x v="0"/>
    <x v="2"/>
  </r>
  <r>
    <s v="P174"/>
    <x v="3"/>
    <d v="2024-06-22T00:00:00"/>
    <x v="1"/>
    <s v="Check out our latest text on facebook!"/>
    <n v="3828"/>
    <n v="148"/>
    <n v="253"/>
    <n v="30624"/>
    <n v="4229"/>
    <n v="0.13809430512016718"/>
    <n v="30229"/>
    <n v="235"/>
    <x v="4"/>
    <x v="4"/>
  </r>
  <r>
    <s v="P175"/>
    <x v="2"/>
    <d v="2025-01-17T00:00:00"/>
    <x v="0"/>
    <s v="Check out our latest reel on instagram!"/>
    <n v="142"/>
    <n v="784"/>
    <n v="183"/>
    <n v="1704"/>
    <n v="1109"/>
    <n v="0.6508215962441315"/>
    <n v="995"/>
    <n v="154"/>
    <x v="0"/>
    <x v="3"/>
  </r>
  <r>
    <s v="P176"/>
    <x v="3"/>
    <d v="2024-06-20T00:00:00"/>
    <x v="5"/>
    <s v="Check out our latest video on facebook!"/>
    <n v="3798"/>
    <n v="31"/>
    <n v="279"/>
    <n v="75960"/>
    <n v="4108"/>
    <n v="5.4081095313322801E-2"/>
    <n v="75813"/>
    <n v="266"/>
    <x v="2"/>
    <x v="0"/>
  </r>
  <r>
    <s v="P177"/>
    <x v="2"/>
    <d v="2024-07-10T00:00:00"/>
    <x v="3"/>
    <s v="Check out our latest carousel on instagram!"/>
    <n v="3099"/>
    <n v="694"/>
    <n v="171"/>
    <n v="43386"/>
    <n v="3964"/>
    <n v="9.1365878393951966E-2"/>
    <n v="42921"/>
    <n v="52"/>
    <x v="2"/>
    <x v="2"/>
  </r>
  <r>
    <s v="P178"/>
    <x v="2"/>
    <d v="2024-11-07T00:00:00"/>
    <x v="5"/>
    <s v="Check out our latest video on instagram!"/>
    <n v="129"/>
    <n v="643"/>
    <n v="136"/>
    <n v="1290"/>
    <n v="908"/>
    <n v="0.70387596899224802"/>
    <n v="839"/>
    <n v="238"/>
    <x v="2"/>
    <x v="3"/>
  </r>
  <r>
    <s v="P179"/>
    <x v="3"/>
    <d v="2024-07-15T00:00:00"/>
    <x v="3"/>
    <s v="Check out our latest carousel on facebook!"/>
    <n v="3796"/>
    <n v="667"/>
    <n v="395"/>
    <n v="64532"/>
    <n v="4858"/>
    <n v="7.5280481001673588E-2"/>
    <n v="63550"/>
    <n v="292"/>
    <x v="2"/>
    <x v="4"/>
  </r>
  <r>
    <s v="P180"/>
    <x v="1"/>
    <d v="2024-12-03T00:00:00"/>
    <x v="1"/>
    <s v="Check out our latest text on youtube!"/>
    <n v="3711"/>
    <n v="352"/>
    <n v="290"/>
    <n v="48243"/>
    <n v="4353"/>
    <n v="9.023070704558174E-2"/>
    <n v="47579"/>
    <n v="11"/>
    <x v="2"/>
    <x v="0"/>
  </r>
  <r>
    <s v="P181"/>
    <x v="1"/>
    <d v="2025-03-21T00:00:00"/>
    <x v="4"/>
    <s v="Check out our latest image on youtube!"/>
    <n v="606"/>
    <n v="789"/>
    <n v="470"/>
    <n v="7878"/>
    <n v="1865"/>
    <n v="0.23673521198273673"/>
    <n v="7389"/>
    <n v="239"/>
    <x v="4"/>
    <x v="2"/>
  </r>
  <r>
    <s v="P182"/>
    <x v="3"/>
    <d v="2024-07-31T00:00:00"/>
    <x v="4"/>
    <s v="Check out our latest image on facebook!"/>
    <n v="4689"/>
    <n v="134"/>
    <n v="403"/>
    <n v="51579"/>
    <n v="5226"/>
    <n v="0.10132030477519921"/>
    <n v="50924"/>
    <n v="173"/>
    <x v="2"/>
    <x v="3"/>
  </r>
  <r>
    <s v="P183"/>
    <x v="2"/>
    <d v="2024-12-17T00:00:00"/>
    <x v="2"/>
    <s v="Check out our latest story on instagram!"/>
    <n v="360"/>
    <n v="590"/>
    <n v="393"/>
    <n v="4680"/>
    <n v="1343"/>
    <n v="0.28696581196581195"/>
    <n v="4322"/>
    <n v="208"/>
    <x v="0"/>
    <x v="1"/>
  </r>
  <r>
    <s v="P184"/>
    <x v="0"/>
    <d v="2024-07-28T00:00:00"/>
    <x v="4"/>
    <s v="Check out our latest image on twitter!"/>
    <n v="3215"/>
    <n v="960"/>
    <n v="202"/>
    <n v="32150"/>
    <n v="4377"/>
    <n v="0.13614307931570763"/>
    <n v="31404"/>
    <n v="251"/>
    <x v="4"/>
    <x v="0"/>
  </r>
  <r>
    <s v="P185"/>
    <x v="2"/>
    <d v="2025-01-11T00:00:00"/>
    <x v="3"/>
    <s v="Check out our latest carousel on instagram!"/>
    <n v="4523"/>
    <n v="61"/>
    <n v="157"/>
    <n v="49753"/>
    <n v="4741"/>
    <n v="9.5290736237010829E-2"/>
    <n v="49329"/>
    <n v="71"/>
    <x v="4"/>
    <x v="4"/>
  </r>
  <r>
    <s v="P186"/>
    <x v="3"/>
    <d v="2024-08-24T00:00:00"/>
    <x v="3"/>
    <s v="Check out our latest carousel on facebook!"/>
    <n v="4292"/>
    <n v="51"/>
    <n v="392"/>
    <n v="55796"/>
    <n v="4735"/>
    <n v="8.4862714173059003E-2"/>
    <n v="54826"/>
    <n v="264"/>
    <x v="4"/>
    <x v="2"/>
  </r>
  <r>
    <s v="P187"/>
    <x v="0"/>
    <d v="2024-12-22T00:00:00"/>
    <x v="0"/>
    <s v="Check out our latest reel on twitter!"/>
    <n v="1644"/>
    <n v="546"/>
    <n v="150"/>
    <n v="27948"/>
    <n v="2340"/>
    <n v="8.3726921425504502E-2"/>
    <n v="27184"/>
    <n v="300"/>
    <x v="4"/>
    <x v="2"/>
  </r>
  <r>
    <s v="P188"/>
    <x v="1"/>
    <d v="2024-06-06T00:00:00"/>
    <x v="0"/>
    <s v="Check out our latest reel on youtube!"/>
    <n v="2728"/>
    <n v="533"/>
    <n v="215"/>
    <n v="40920"/>
    <n v="3476"/>
    <n v="8.4946236559139784E-2"/>
    <n v="40816"/>
    <n v="137"/>
    <x v="0"/>
    <x v="1"/>
  </r>
  <r>
    <s v="P189"/>
    <x v="3"/>
    <d v="2025-03-24T00:00:00"/>
    <x v="0"/>
    <s v="Check out our latest reel on facebook!"/>
    <n v="3360"/>
    <n v="525"/>
    <n v="500"/>
    <n v="60480"/>
    <n v="4385"/>
    <n v="7.2503306878306875E-2"/>
    <n v="59610"/>
    <n v="192"/>
    <x v="2"/>
    <x v="0"/>
  </r>
  <r>
    <s v="P190"/>
    <x v="1"/>
    <d v="2024-10-04T00:00:00"/>
    <x v="1"/>
    <s v="Check out our latest text on youtube!"/>
    <n v="1963"/>
    <n v="213"/>
    <n v="19"/>
    <n v="39260"/>
    <n v="2195"/>
    <n v="5.5909322465613857E-2"/>
    <n v="38771"/>
    <n v="145"/>
    <x v="0"/>
    <x v="4"/>
  </r>
  <r>
    <s v="P191"/>
    <x v="1"/>
    <d v="2024-12-03T00:00:00"/>
    <x v="2"/>
    <s v="Check out our latest story on youtube!"/>
    <n v="4285"/>
    <n v="886"/>
    <n v="376"/>
    <n v="55705"/>
    <n v="5547"/>
    <n v="9.9578134817341346E-2"/>
    <n v="55556"/>
    <n v="51"/>
    <x v="0"/>
    <x v="2"/>
  </r>
  <r>
    <s v="P192"/>
    <x v="2"/>
    <d v="2024-11-29T00:00:00"/>
    <x v="5"/>
    <s v="Check out our latest video on instagram!"/>
    <n v="1176"/>
    <n v="464"/>
    <n v="394"/>
    <n v="14112"/>
    <n v="2034"/>
    <n v="0.1441326530612245"/>
    <n v="13588"/>
    <n v="272"/>
    <x v="4"/>
    <x v="4"/>
  </r>
  <r>
    <s v="P193"/>
    <x v="0"/>
    <d v="2024-09-11T00:00:00"/>
    <x v="4"/>
    <s v="Check out our latest image on twitter!"/>
    <n v="4858"/>
    <n v="317"/>
    <n v="129"/>
    <n v="53438"/>
    <n v="5304"/>
    <n v="9.9255211647142488E-2"/>
    <n v="52687"/>
    <n v="223"/>
    <x v="4"/>
    <x v="2"/>
  </r>
  <r>
    <s v="P194"/>
    <x v="1"/>
    <d v="2024-10-02T00:00:00"/>
    <x v="2"/>
    <s v="Check out our latest story on youtube!"/>
    <n v="4350"/>
    <n v="771"/>
    <n v="7"/>
    <n v="60900"/>
    <n v="5128"/>
    <n v="8.4203612479474554E-2"/>
    <n v="60592"/>
    <n v="195"/>
    <x v="4"/>
    <x v="0"/>
  </r>
  <r>
    <s v="P195"/>
    <x v="2"/>
    <d v="2024-08-15T00:00:00"/>
    <x v="3"/>
    <s v="Check out our latest carousel on instagram!"/>
    <n v="914"/>
    <n v="464"/>
    <n v="246"/>
    <n v="11882"/>
    <n v="1624"/>
    <n v="0.13667732704931829"/>
    <n v="11500"/>
    <n v="282"/>
    <x v="0"/>
    <x v="3"/>
  </r>
  <r>
    <s v="P195"/>
    <x v="2"/>
    <d v="2024-08-15T00:00:00"/>
    <x v="3"/>
    <s v="Check out our latest carousel on instagram!"/>
    <n v="914"/>
    <n v="464"/>
    <n v="246"/>
    <n v="11882"/>
    <n v="1624"/>
    <n v="0.13667732704931829"/>
    <n v="11500"/>
    <n v="282"/>
    <x v="2"/>
    <x v="3"/>
  </r>
  <r>
    <s v="P195"/>
    <x v="2"/>
    <d v="2024-08-15T00:00:00"/>
    <x v="3"/>
    <s v="Check out our latest carousel on instagram!"/>
    <n v="914"/>
    <n v="464"/>
    <n v="246"/>
    <n v="11882"/>
    <n v="1624"/>
    <n v="0.13667732704931829"/>
    <n v="11500"/>
    <n v="282"/>
    <x v="1"/>
    <x v="3"/>
  </r>
  <r>
    <s v="P196"/>
    <x v="2"/>
    <d v="2024-12-19T00:00:00"/>
    <x v="1"/>
    <s v="Check out our latest text on instagram!"/>
    <n v="1813"/>
    <n v="623"/>
    <n v="72"/>
    <n v="19943"/>
    <n v="2508"/>
    <n v="0.12575841147269717"/>
    <n v="18959"/>
    <n v="85"/>
    <x v="4"/>
    <x v="2"/>
  </r>
  <r>
    <s v="P197"/>
    <x v="0"/>
    <d v="2024-10-22T00:00:00"/>
    <x v="0"/>
    <s v="Check out our latest reel on twitter!"/>
    <n v="4782"/>
    <n v="721"/>
    <n v="82"/>
    <n v="86076"/>
    <n v="5585"/>
    <n v="6.4884520656164318E-2"/>
    <n v="85339"/>
    <n v="19"/>
    <x v="4"/>
    <x v="0"/>
  </r>
  <r>
    <s v="P198"/>
    <x v="0"/>
    <d v="2024-09-14T00:00:00"/>
    <x v="4"/>
    <s v="Check out our latest image on twitter!"/>
    <n v="1048"/>
    <n v="374"/>
    <n v="450"/>
    <n v="9432"/>
    <n v="1872"/>
    <n v="0.19847328244274809"/>
    <n v="8882"/>
    <n v="158"/>
    <x v="2"/>
    <x v="2"/>
  </r>
  <r>
    <s v="P199"/>
    <x v="1"/>
    <d v="2024-11-30T00:00:00"/>
    <x v="3"/>
    <s v="Check out our latest carousel on youtube!"/>
    <n v="2509"/>
    <n v="324"/>
    <n v="171"/>
    <n v="35126"/>
    <n v="3004"/>
    <n v="8.5520696919660646E-2"/>
    <n v="34685"/>
    <n v="277"/>
    <x v="2"/>
    <x v="1"/>
  </r>
  <r>
    <s v="P200"/>
    <x v="3"/>
    <d v="2025-04-07T00:00:00"/>
    <x v="0"/>
    <s v="Check out our latest reel on facebook!"/>
    <n v="3718"/>
    <n v="385"/>
    <n v="310"/>
    <n v="70642"/>
    <n v="4413"/>
    <n v="6.246991874522239E-2"/>
    <n v="69749"/>
    <n v="233"/>
    <x v="2"/>
    <x v="1"/>
  </r>
  <r>
    <s v="P201"/>
    <x v="0"/>
    <d v="2025-01-15T00:00:00"/>
    <x v="0"/>
    <s v="Check out our latest reel on twitter!"/>
    <n v="802"/>
    <n v="262"/>
    <n v="244"/>
    <n v="14436"/>
    <n v="1308"/>
    <n v="9.0606816292601824E-2"/>
    <n v="14280"/>
    <n v="49"/>
    <x v="4"/>
    <x v="0"/>
  </r>
  <r>
    <s v="P202"/>
    <x v="3"/>
    <d v="2024-06-02T00:00:00"/>
    <x v="4"/>
    <s v="Check out our latest image on facebook!"/>
    <n v="1871"/>
    <n v="252"/>
    <n v="335"/>
    <n v="29936"/>
    <n v="2458"/>
    <n v="8.2108498129342594E-2"/>
    <n v="29576"/>
    <n v="288"/>
    <x v="4"/>
    <x v="2"/>
  </r>
  <r>
    <s v="P203"/>
    <x v="2"/>
    <d v="2024-11-21T00:00:00"/>
    <x v="3"/>
    <s v="Check out our latest carousel on instagram!"/>
    <n v="3773"/>
    <n v="299"/>
    <n v="38"/>
    <n v="71687"/>
    <n v="4110"/>
    <n v="5.7332570758993957E-2"/>
    <n v="71447"/>
    <n v="286"/>
    <x v="0"/>
    <x v="0"/>
  </r>
  <r>
    <s v="P204"/>
    <x v="2"/>
    <d v="2025-01-01T00:00:00"/>
    <x v="3"/>
    <s v="Check out our latest carousel on instagram!"/>
    <n v="2234"/>
    <n v="653"/>
    <n v="432"/>
    <n v="11170"/>
    <n v="3319"/>
    <n v="0.29713518352730528"/>
    <n v="10569"/>
    <n v="198"/>
    <x v="0"/>
    <x v="2"/>
  </r>
  <r>
    <s v="P205"/>
    <x v="0"/>
    <d v="2025-04-24T00:00:00"/>
    <x v="5"/>
    <s v="Check out our latest video on twitter!"/>
    <n v="3820"/>
    <n v="697"/>
    <n v="268"/>
    <n v="45840"/>
    <n v="4785"/>
    <n v="0.1043848167539267"/>
    <n v="45631"/>
    <n v="171"/>
    <x v="2"/>
    <x v="3"/>
  </r>
  <r>
    <s v="P205"/>
    <x v="0"/>
    <d v="2025-04-24T00:00:00"/>
    <x v="5"/>
    <s v="Check out our latest video on twitter!"/>
    <n v="3820"/>
    <n v="697"/>
    <n v="268"/>
    <n v="45840"/>
    <n v="4785"/>
    <n v="0.1043848167539267"/>
    <n v="45631"/>
    <n v="171"/>
    <x v="5"/>
    <x v="3"/>
  </r>
  <r>
    <s v="P206"/>
    <x v="0"/>
    <d v="2024-06-24T00:00:00"/>
    <x v="1"/>
    <s v="Check out our latest text on twitter!"/>
    <n v="941"/>
    <n v="121"/>
    <n v="458"/>
    <n v="14115"/>
    <n v="1520"/>
    <n v="0.10768685795253277"/>
    <n v="13838"/>
    <n v="87"/>
    <x v="4"/>
    <x v="0"/>
  </r>
  <r>
    <s v="P207"/>
    <x v="0"/>
    <d v="2024-12-29T00:00:00"/>
    <x v="3"/>
    <s v="Check out our latest carousel on twitter!"/>
    <n v="4274"/>
    <n v="340"/>
    <n v="281"/>
    <n v="34192"/>
    <n v="4895"/>
    <n v="0.14316214319138981"/>
    <n v="33446"/>
    <n v="129"/>
    <x v="2"/>
    <x v="2"/>
  </r>
  <r>
    <s v="P207"/>
    <x v="0"/>
    <d v="2024-12-29T00:00:00"/>
    <x v="3"/>
    <s v="Check out our latest carousel on twitter!"/>
    <n v="4274"/>
    <n v="340"/>
    <n v="281"/>
    <n v="34192"/>
    <n v="4895"/>
    <n v="0.14316214319138981"/>
    <n v="33446"/>
    <n v="129"/>
    <x v="5"/>
    <x v="2"/>
  </r>
  <r>
    <s v="P208"/>
    <x v="1"/>
    <d v="2024-06-24T00:00:00"/>
    <x v="5"/>
    <s v="Check out our latest video on youtube!"/>
    <n v="2949"/>
    <n v="476"/>
    <n v="403"/>
    <n v="44235"/>
    <n v="3828"/>
    <n v="8.6537809426924378E-2"/>
    <n v="43705"/>
    <n v="135"/>
    <x v="2"/>
    <x v="1"/>
  </r>
  <r>
    <s v="P209"/>
    <x v="0"/>
    <d v="2025-03-19T00:00:00"/>
    <x v="5"/>
    <s v="Check out our latest video on twitter!"/>
    <n v="3160"/>
    <n v="204"/>
    <n v="297"/>
    <n v="44240"/>
    <n v="3661"/>
    <n v="8.2753164556962022E-2"/>
    <n v="43666"/>
    <n v="49"/>
    <x v="0"/>
    <x v="3"/>
  </r>
  <r>
    <s v="P209"/>
    <x v="0"/>
    <d v="2025-03-19T00:00:00"/>
    <x v="5"/>
    <s v="Check out our latest video on twitter!"/>
    <n v="3160"/>
    <n v="204"/>
    <n v="297"/>
    <n v="44240"/>
    <n v="3661"/>
    <n v="8.2753164556962022E-2"/>
    <n v="43666"/>
    <n v="49"/>
    <x v="1"/>
    <x v="3"/>
  </r>
  <r>
    <s v="P210"/>
    <x v="1"/>
    <d v="2025-02-19T00:00:00"/>
    <x v="4"/>
    <s v="Check out our latest image on youtube!"/>
    <n v="257"/>
    <n v="966"/>
    <n v="398"/>
    <n v="3341"/>
    <n v="1621"/>
    <n v="0.48518407662376534"/>
    <n v="2753"/>
    <n v="287"/>
    <x v="0"/>
    <x v="0"/>
  </r>
  <r>
    <s v="P211"/>
    <x v="0"/>
    <d v="2024-07-18T00:00:00"/>
    <x v="3"/>
    <s v="Check out our latest carousel on twitter!"/>
    <n v="2120"/>
    <n v="38"/>
    <n v="212"/>
    <n v="12720"/>
    <n v="2370"/>
    <n v="0.18632075471698112"/>
    <n v="12564"/>
    <n v="21"/>
    <x v="0"/>
    <x v="3"/>
  </r>
  <r>
    <s v="P212"/>
    <x v="1"/>
    <d v="2025-03-03T00:00:00"/>
    <x v="5"/>
    <s v="Check out our latest video on youtube!"/>
    <n v="3874"/>
    <n v="884"/>
    <n v="19"/>
    <n v="38740"/>
    <n v="4777"/>
    <n v="0.123309241094476"/>
    <n v="38552"/>
    <n v="219"/>
    <x v="2"/>
    <x v="1"/>
  </r>
  <r>
    <s v="P213"/>
    <x v="3"/>
    <d v="2025-05-01T00:00:00"/>
    <x v="3"/>
    <s v="Check out our latest carousel on facebook!"/>
    <n v="2696"/>
    <n v="628"/>
    <n v="443"/>
    <n v="45832"/>
    <n v="3767"/>
    <n v="8.21914819340199E-2"/>
    <n v="45632"/>
    <n v="248"/>
    <x v="4"/>
    <x v="3"/>
  </r>
  <r>
    <s v="P214"/>
    <x v="2"/>
    <d v="2024-12-23T00:00:00"/>
    <x v="4"/>
    <s v="Check out our latest image on instagram!"/>
    <n v="521"/>
    <n v="746"/>
    <n v="315"/>
    <n v="4168"/>
    <n v="1582"/>
    <n v="0.37955854126679461"/>
    <n v="3399"/>
    <n v="282"/>
    <x v="0"/>
    <x v="1"/>
  </r>
  <r>
    <s v="P215"/>
    <x v="3"/>
    <d v="2025-05-06T00:00:00"/>
    <x v="4"/>
    <s v="Check out our latest image on facebook!"/>
    <n v="4872"/>
    <n v="925"/>
    <n v="176"/>
    <n v="82824"/>
    <n v="5973"/>
    <n v="7.2116777745580993E-2"/>
    <n v="82543"/>
    <n v="89"/>
    <x v="4"/>
    <x v="1"/>
  </r>
  <r>
    <s v="P216"/>
    <x v="1"/>
    <d v="2024-07-29T00:00:00"/>
    <x v="2"/>
    <s v="Check out our latest story on youtube!"/>
    <n v="1509"/>
    <n v="88"/>
    <n v="163"/>
    <n v="30180"/>
    <n v="1760"/>
    <n v="5.8316766070245198E-2"/>
    <n v="29689"/>
    <n v="119"/>
    <x v="4"/>
    <x v="1"/>
  </r>
  <r>
    <s v="P217"/>
    <x v="3"/>
    <d v="2024-12-03T00:00:00"/>
    <x v="4"/>
    <s v="Check out our latest image on facebook!"/>
    <n v="4606"/>
    <n v="931"/>
    <n v="230"/>
    <n v="92120"/>
    <n v="5767"/>
    <n v="6.2603126356925748E-2"/>
    <n v="91440"/>
    <n v="56"/>
    <x v="2"/>
    <x v="4"/>
  </r>
  <r>
    <s v="P218"/>
    <x v="3"/>
    <d v="2024-06-11T00:00:00"/>
    <x v="3"/>
    <s v="Check out our latest carousel on facebook!"/>
    <n v="1869"/>
    <n v="453"/>
    <n v="490"/>
    <n v="14952"/>
    <n v="2812"/>
    <n v="0.18806848582129482"/>
    <n v="14309"/>
    <n v="275"/>
    <x v="2"/>
    <x v="3"/>
  </r>
  <r>
    <s v="P219"/>
    <x v="0"/>
    <d v="2025-01-28T00:00:00"/>
    <x v="0"/>
    <s v="Check out our latest reel on twitter!"/>
    <n v="1188"/>
    <n v="470"/>
    <n v="174"/>
    <n v="7128"/>
    <n v="1832"/>
    <n v="0.25701459034792368"/>
    <n v="6145"/>
    <n v="270"/>
    <x v="2"/>
    <x v="3"/>
  </r>
  <r>
    <s v="P220"/>
    <x v="2"/>
    <d v="2024-06-02T00:00:00"/>
    <x v="2"/>
    <s v="Check out our latest story on instagram!"/>
    <n v="84"/>
    <n v="897"/>
    <n v="85"/>
    <n v="588"/>
    <n v="1066"/>
    <n v="1.8129251700680271"/>
    <n v="8"/>
    <n v="12"/>
    <x v="4"/>
    <x v="4"/>
  </r>
  <r>
    <s v="P221"/>
    <x v="3"/>
    <d v="2025-03-23T00:00:00"/>
    <x v="5"/>
    <s v="Check out our latest video on facebook!"/>
    <n v="4453"/>
    <n v="111"/>
    <n v="420"/>
    <n v="31171"/>
    <n v="4984"/>
    <n v="0.15989220750056141"/>
    <n v="30565"/>
    <n v="23"/>
    <x v="2"/>
    <x v="4"/>
  </r>
  <r>
    <s v="P222"/>
    <x v="3"/>
    <d v="2024-10-08T00:00:00"/>
    <x v="0"/>
    <s v="Check out our latest reel on facebook!"/>
    <n v="1814"/>
    <n v="653"/>
    <n v="363"/>
    <n v="25396"/>
    <n v="2830"/>
    <n v="0.11143487163332809"/>
    <n v="25286"/>
    <n v="39"/>
    <x v="0"/>
    <x v="0"/>
  </r>
  <r>
    <s v="P222"/>
    <x v="3"/>
    <d v="2024-10-08T00:00:00"/>
    <x v="0"/>
    <s v="Check out our latest reel on facebook!"/>
    <n v="1814"/>
    <n v="653"/>
    <n v="363"/>
    <n v="25396"/>
    <n v="2830"/>
    <n v="0.11143487163332809"/>
    <n v="25286"/>
    <n v="39"/>
    <x v="5"/>
    <x v="0"/>
  </r>
  <r>
    <s v="P223"/>
    <x v="0"/>
    <d v="2024-11-12T00:00:00"/>
    <x v="4"/>
    <s v="Check out our latest image on twitter!"/>
    <n v="3338"/>
    <n v="277"/>
    <n v="118"/>
    <n v="60084"/>
    <n v="3733"/>
    <n v="6.2129685107516146E-2"/>
    <n v="59842"/>
    <n v="252"/>
    <x v="2"/>
    <x v="4"/>
  </r>
  <r>
    <s v="P224"/>
    <x v="3"/>
    <d v="2025-05-13T00:00:00"/>
    <x v="4"/>
    <s v="Check out our latest image on facebook!"/>
    <n v="602"/>
    <n v="594"/>
    <n v="156"/>
    <n v="4214"/>
    <n v="1352"/>
    <n v="0.32083531086853345"/>
    <n v="3363"/>
    <n v="164"/>
    <x v="2"/>
    <x v="2"/>
  </r>
  <r>
    <s v="P225"/>
    <x v="0"/>
    <d v="2024-06-20T00:00:00"/>
    <x v="3"/>
    <s v="Check out our latest carousel on twitter!"/>
    <n v="4672"/>
    <n v="325"/>
    <n v="32"/>
    <n v="88768"/>
    <n v="5029"/>
    <n v="5.6653298485940883E-2"/>
    <n v="87833"/>
    <n v="118"/>
    <x v="4"/>
    <x v="4"/>
  </r>
  <r>
    <s v="P226"/>
    <x v="2"/>
    <d v="2024-08-07T00:00:00"/>
    <x v="3"/>
    <s v="Check out our latest carousel on instagram!"/>
    <n v="1741"/>
    <n v="164"/>
    <n v="318"/>
    <n v="8705"/>
    <n v="2223"/>
    <n v="0.25537047673750718"/>
    <n v="8272"/>
    <n v="121"/>
    <x v="2"/>
    <x v="4"/>
  </r>
  <r>
    <s v="P227"/>
    <x v="2"/>
    <d v="2024-06-12T00:00:00"/>
    <x v="1"/>
    <s v="Check out our latest text on instagram!"/>
    <n v="246"/>
    <n v="149"/>
    <n v="130"/>
    <n v="4674"/>
    <n v="525"/>
    <n v="0.11232349165596919"/>
    <n v="4390"/>
    <n v="217"/>
    <x v="0"/>
    <x v="2"/>
  </r>
  <r>
    <s v="P228"/>
    <x v="2"/>
    <d v="2024-07-01T00:00:00"/>
    <x v="2"/>
    <s v="Check out our latest story on instagram!"/>
    <n v="4808"/>
    <n v="772"/>
    <n v="320"/>
    <n v="72120"/>
    <n v="5900"/>
    <n v="8.1808097615085965E-2"/>
    <n v="71696"/>
    <n v="195"/>
    <x v="4"/>
    <x v="0"/>
  </r>
  <r>
    <s v="P229"/>
    <x v="2"/>
    <d v="2024-07-03T00:00:00"/>
    <x v="3"/>
    <s v="Check out our latest carousel on instagram!"/>
    <n v="4799"/>
    <n v="694"/>
    <n v="289"/>
    <n v="43191"/>
    <n v="5782"/>
    <n v="0.13387048227640017"/>
    <n v="42228"/>
    <n v="118"/>
    <x v="2"/>
    <x v="4"/>
  </r>
  <r>
    <s v="P230"/>
    <x v="3"/>
    <d v="2024-07-15T00:00:00"/>
    <x v="0"/>
    <s v="Check out our latest reel on facebook!"/>
    <n v="3663"/>
    <n v="17"/>
    <n v="295"/>
    <n v="51282"/>
    <n v="3975"/>
    <n v="7.7512577512577507E-2"/>
    <n v="50567"/>
    <n v="84"/>
    <x v="4"/>
    <x v="2"/>
  </r>
  <r>
    <s v="P231"/>
    <x v="2"/>
    <d v="2025-05-01T00:00:00"/>
    <x v="1"/>
    <s v="Check out our latest text on instagram!"/>
    <n v="1430"/>
    <n v="376"/>
    <n v="33"/>
    <n v="21450"/>
    <n v="1839"/>
    <n v="8.5734265734265735E-2"/>
    <n v="20509"/>
    <n v="251"/>
    <x v="0"/>
    <x v="0"/>
  </r>
  <r>
    <s v="P232"/>
    <x v="0"/>
    <d v="2025-04-29T00:00:00"/>
    <x v="2"/>
    <s v="Check out our latest story on twitter!"/>
    <n v="249"/>
    <n v="592"/>
    <n v="230"/>
    <n v="1494"/>
    <n v="1071"/>
    <n v="0.7168674698795181"/>
    <n v="1044"/>
    <n v="201"/>
    <x v="4"/>
    <x v="3"/>
  </r>
  <r>
    <s v="P233"/>
    <x v="3"/>
    <d v="2025-03-08T00:00:00"/>
    <x v="4"/>
    <s v="Check out our latest image on facebook!"/>
    <n v="2382"/>
    <n v="265"/>
    <n v="134"/>
    <n v="38112"/>
    <n v="2781"/>
    <n v="7.2969143576826198E-2"/>
    <n v="37437"/>
    <n v="249"/>
    <x v="0"/>
    <x v="3"/>
  </r>
  <r>
    <s v="P234"/>
    <x v="3"/>
    <d v="2024-06-01T00:00:00"/>
    <x v="1"/>
    <s v="Check out our latest text on facebook!"/>
    <n v="1272"/>
    <n v="465"/>
    <n v="99"/>
    <n v="24168"/>
    <n v="1836"/>
    <n v="7.5968222442899705E-2"/>
    <n v="23719"/>
    <n v="42"/>
    <x v="2"/>
    <x v="4"/>
  </r>
  <r>
    <s v="P235"/>
    <x v="3"/>
    <d v="2024-12-22T00:00:00"/>
    <x v="4"/>
    <s v="Check out our latest image on facebook!"/>
    <n v="3196"/>
    <n v="941"/>
    <n v="376"/>
    <n v="35156"/>
    <n v="4513"/>
    <n v="0.1283706906360223"/>
    <n v="34444"/>
    <n v="241"/>
    <x v="2"/>
    <x v="2"/>
  </r>
  <r>
    <s v="P236"/>
    <x v="3"/>
    <d v="2024-08-19T00:00:00"/>
    <x v="1"/>
    <s v="Check out our latest text on facebook!"/>
    <n v="1257"/>
    <n v="19"/>
    <n v="351"/>
    <n v="12570"/>
    <n v="1627"/>
    <n v="0.12943516308671441"/>
    <n v="11660"/>
    <n v="194"/>
    <x v="0"/>
    <x v="1"/>
  </r>
  <r>
    <s v="P236"/>
    <x v="3"/>
    <d v="2024-08-19T00:00:00"/>
    <x v="1"/>
    <s v="Check out our latest text on facebook!"/>
    <n v="1257"/>
    <n v="19"/>
    <n v="351"/>
    <n v="12570"/>
    <n v="1627"/>
    <n v="0.12943516308671441"/>
    <n v="11660"/>
    <n v="194"/>
    <x v="1"/>
    <x v="1"/>
  </r>
  <r>
    <s v="P236"/>
    <x v="3"/>
    <d v="2024-08-19T00:00:00"/>
    <x v="1"/>
    <s v="Check out our latest text on facebook!"/>
    <n v="1257"/>
    <n v="19"/>
    <n v="351"/>
    <n v="12570"/>
    <n v="1627"/>
    <n v="0.12943516308671441"/>
    <n v="11660"/>
    <n v="194"/>
    <x v="4"/>
    <x v="1"/>
  </r>
  <r>
    <s v="P237"/>
    <x v="2"/>
    <d v="2024-10-22T00:00:00"/>
    <x v="2"/>
    <s v="Check out our latest story on instagram!"/>
    <n v="3770"/>
    <n v="917"/>
    <n v="129"/>
    <n v="71630"/>
    <n v="4816"/>
    <n v="6.7234398994834563E-2"/>
    <n v="71322"/>
    <n v="76"/>
    <x v="0"/>
    <x v="0"/>
  </r>
  <r>
    <s v="P238"/>
    <x v="0"/>
    <d v="2024-07-16T00:00:00"/>
    <x v="1"/>
    <s v="Check out our latest text on twitter!"/>
    <n v="4725"/>
    <n v="400"/>
    <n v="362"/>
    <n v="75600"/>
    <n v="5487"/>
    <n v="7.2579365079365077E-2"/>
    <n v="74927"/>
    <n v="43"/>
    <x v="0"/>
    <x v="3"/>
  </r>
  <r>
    <s v="P239"/>
    <x v="1"/>
    <d v="2025-02-24T00:00:00"/>
    <x v="1"/>
    <s v="Check out our latest text on youtube!"/>
    <n v="4188"/>
    <n v="942"/>
    <n v="118"/>
    <n v="20940"/>
    <n v="5248"/>
    <n v="0.25062082139446035"/>
    <n v="20471"/>
    <n v="102"/>
    <x v="0"/>
    <x v="4"/>
  </r>
  <r>
    <s v="P240"/>
    <x v="0"/>
    <d v="2024-08-26T00:00:00"/>
    <x v="3"/>
    <s v="Check out our latest carousel on twitter!"/>
    <n v="929"/>
    <n v="192"/>
    <n v="322"/>
    <n v="16722"/>
    <n v="1443"/>
    <n v="8.6293505561535699E-2"/>
    <n v="15996"/>
    <n v="145"/>
    <x v="4"/>
    <x v="2"/>
  </r>
  <r>
    <s v="P240"/>
    <x v="0"/>
    <d v="2024-08-26T00:00:00"/>
    <x v="3"/>
    <s v="Check out our latest carousel on twitter!"/>
    <n v="929"/>
    <n v="192"/>
    <n v="322"/>
    <n v="16722"/>
    <n v="1443"/>
    <n v="8.6293505561535699E-2"/>
    <n v="15996"/>
    <n v="145"/>
    <x v="2"/>
    <x v="2"/>
  </r>
  <r>
    <s v="P240"/>
    <x v="0"/>
    <d v="2024-08-26T00:00:00"/>
    <x v="3"/>
    <s v="Check out our latest carousel on twitter!"/>
    <n v="929"/>
    <n v="192"/>
    <n v="322"/>
    <n v="16722"/>
    <n v="1443"/>
    <n v="8.6293505561535699E-2"/>
    <n v="15996"/>
    <n v="145"/>
    <x v="1"/>
    <x v="2"/>
  </r>
  <r>
    <s v="P241"/>
    <x v="3"/>
    <d v="2025-01-18T00:00:00"/>
    <x v="2"/>
    <s v="Check out our latest story on facebook!"/>
    <n v="4321"/>
    <n v="874"/>
    <n v="172"/>
    <n v="30247"/>
    <n v="5367"/>
    <n v="0.17743908486792079"/>
    <n v="29254"/>
    <n v="122"/>
    <x v="2"/>
    <x v="3"/>
  </r>
  <r>
    <s v="P242"/>
    <x v="3"/>
    <d v="2024-07-07T00:00:00"/>
    <x v="0"/>
    <s v="Check out our latest reel on facebook!"/>
    <n v="4767"/>
    <n v="190"/>
    <n v="340"/>
    <n v="28602"/>
    <n v="5297"/>
    <n v="0.18519683938186141"/>
    <n v="28044"/>
    <n v="210"/>
    <x v="4"/>
    <x v="2"/>
  </r>
  <r>
    <s v="P243"/>
    <x v="0"/>
    <d v="2025-03-06T00:00:00"/>
    <x v="4"/>
    <s v="Check out our latest image on twitter!"/>
    <n v="3592"/>
    <n v="911"/>
    <n v="375"/>
    <n v="50288"/>
    <n v="4878"/>
    <n v="9.7001272669424113E-2"/>
    <n v="49490"/>
    <n v="32"/>
    <x v="0"/>
    <x v="3"/>
  </r>
  <r>
    <s v="P244"/>
    <x v="1"/>
    <d v="2024-10-25T00:00:00"/>
    <x v="5"/>
    <s v="Check out our latest video on youtube!"/>
    <n v="4661"/>
    <n v="935"/>
    <n v="433"/>
    <n v="23305"/>
    <n v="6029"/>
    <n v="0.25869984981763572"/>
    <n v="22583"/>
    <n v="63"/>
    <x v="0"/>
    <x v="2"/>
  </r>
  <r>
    <s v="P245"/>
    <x v="3"/>
    <d v="2025-01-12T00:00:00"/>
    <x v="0"/>
    <s v="Check out our latest reel on facebook!"/>
    <n v="4134"/>
    <n v="824"/>
    <n v="99"/>
    <n v="41340"/>
    <n v="5057"/>
    <n v="0.12232704402515723"/>
    <n v="41050"/>
    <n v="177"/>
    <x v="4"/>
    <x v="0"/>
  </r>
  <r>
    <s v="P246"/>
    <x v="3"/>
    <d v="2024-10-11T00:00:00"/>
    <x v="4"/>
    <s v="Check out our latest image on facebook!"/>
    <n v="400"/>
    <n v="680"/>
    <n v="434"/>
    <n v="6400"/>
    <n v="1514"/>
    <n v="0.23656250000000001"/>
    <n v="5472"/>
    <n v="160"/>
    <x v="0"/>
    <x v="1"/>
  </r>
  <r>
    <s v="P247"/>
    <x v="3"/>
    <d v="2024-08-27T00:00:00"/>
    <x v="0"/>
    <s v="Check out our latest reel on facebook!"/>
    <n v="3960"/>
    <n v="266"/>
    <n v="8"/>
    <n v="35640"/>
    <n v="4234"/>
    <n v="0.11879910213243547"/>
    <n v="34850"/>
    <n v="208"/>
    <x v="0"/>
    <x v="4"/>
  </r>
  <r>
    <s v="P247"/>
    <x v="3"/>
    <d v="2024-08-27T00:00:00"/>
    <x v="0"/>
    <s v="Check out our latest reel on facebook!"/>
    <n v="3960"/>
    <n v="266"/>
    <n v="8"/>
    <n v="35640"/>
    <n v="4234"/>
    <n v="0.11879910213243547"/>
    <n v="34850"/>
    <n v="208"/>
    <x v="4"/>
    <x v="4"/>
  </r>
  <r>
    <s v="P247"/>
    <x v="3"/>
    <d v="2024-08-27T00:00:00"/>
    <x v="0"/>
    <s v="Check out our latest reel on facebook!"/>
    <n v="3960"/>
    <n v="266"/>
    <n v="8"/>
    <n v="35640"/>
    <n v="4234"/>
    <n v="0.11879910213243547"/>
    <n v="34850"/>
    <n v="208"/>
    <x v="3"/>
    <x v="4"/>
  </r>
  <r>
    <s v="P248"/>
    <x v="3"/>
    <d v="2025-02-02T00:00:00"/>
    <x v="2"/>
    <s v="Check out our latest story on facebook!"/>
    <n v="886"/>
    <n v="126"/>
    <n v="153"/>
    <n v="4430"/>
    <n v="1165"/>
    <n v="0.26297968397291194"/>
    <n v="4037"/>
    <n v="212"/>
    <x v="4"/>
    <x v="4"/>
  </r>
  <r>
    <s v="P249"/>
    <x v="0"/>
    <d v="2024-07-18T00:00:00"/>
    <x v="4"/>
    <s v="Check out our latest image on twitter!"/>
    <n v="827"/>
    <n v="77"/>
    <n v="402"/>
    <n v="14886"/>
    <n v="1306"/>
    <n v="8.7733440816874911E-2"/>
    <n v="14129"/>
    <n v="254"/>
    <x v="4"/>
    <x v="1"/>
  </r>
  <r>
    <s v="P250"/>
    <x v="3"/>
    <d v="2024-06-22T00:00:00"/>
    <x v="0"/>
    <s v="Check out our latest reel on facebook!"/>
    <n v="3813"/>
    <n v="935"/>
    <n v="274"/>
    <n v="68634"/>
    <n v="5022"/>
    <n v="7.3170731707317069E-2"/>
    <n v="68488"/>
    <n v="251"/>
    <x v="0"/>
    <x v="4"/>
  </r>
  <r>
    <s v="P251"/>
    <x v="2"/>
    <d v="2025-03-27T00:00:00"/>
    <x v="3"/>
    <s v="Check out our latest carousel on instagram!"/>
    <n v="1377"/>
    <n v="796"/>
    <n v="387"/>
    <n v="22032"/>
    <n v="2560"/>
    <n v="0.11619462599854757"/>
    <n v="21869"/>
    <n v="189"/>
    <x v="0"/>
    <x v="4"/>
  </r>
  <r>
    <s v="P252"/>
    <x v="3"/>
    <d v="2025-04-28T00:00:00"/>
    <x v="3"/>
    <s v="Check out our latest carousel on facebook!"/>
    <n v="2089"/>
    <n v="476"/>
    <n v="69"/>
    <n v="16712"/>
    <n v="2634"/>
    <n v="0.15761129727142173"/>
    <n v="16309"/>
    <n v="64"/>
    <x v="0"/>
    <x v="2"/>
  </r>
  <r>
    <s v="P253"/>
    <x v="0"/>
    <d v="2024-08-03T00:00:00"/>
    <x v="0"/>
    <s v="Check out our latest reel on twitter!"/>
    <n v="3791"/>
    <n v="593"/>
    <n v="228"/>
    <n v="53074"/>
    <n v="4612"/>
    <n v="8.6897539284772202E-2"/>
    <n v="52613"/>
    <n v="205"/>
    <x v="4"/>
    <x v="4"/>
  </r>
  <r>
    <s v="P254"/>
    <x v="0"/>
    <d v="2025-01-14T00:00:00"/>
    <x v="4"/>
    <s v="Check out our latest image on twitter!"/>
    <n v="2692"/>
    <n v="115"/>
    <n v="64"/>
    <n v="21536"/>
    <n v="2871"/>
    <n v="0.13331166419019316"/>
    <n v="21120"/>
    <n v="224"/>
    <x v="0"/>
    <x v="1"/>
  </r>
  <r>
    <s v="P255"/>
    <x v="3"/>
    <d v="2025-04-03T00:00:00"/>
    <x v="2"/>
    <s v="Check out our latest story on facebook!"/>
    <n v="3767"/>
    <n v="514"/>
    <n v="238"/>
    <n v="37670"/>
    <n v="4519"/>
    <n v="0.11996283514733209"/>
    <n v="36807"/>
    <n v="226"/>
    <x v="0"/>
    <x v="3"/>
  </r>
  <r>
    <s v="P256"/>
    <x v="1"/>
    <d v="2024-09-18T00:00:00"/>
    <x v="3"/>
    <s v="Check out our latest carousel on youtube!"/>
    <n v="2143"/>
    <n v="12"/>
    <n v="204"/>
    <n v="40717"/>
    <n v="2359"/>
    <n v="5.7936488444630008E-2"/>
    <n v="40125"/>
    <n v="248"/>
    <x v="4"/>
    <x v="1"/>
  </r>
  <r>
    <s v="P257"/>
    <x v="3"/>
    <d v="2025-04-06T00:00:00"/>
    <x v="4"/>
    <s v="Check out our latest image on facebook!"/>
    <n v="3090"/>
    <n v="697"/>
    <n v="164"/>
    <n v="49440"/>
    <n v="3951"/>
    <n v="7.9915048543689318E-2"/>
    <n v="48524"/>
    <n v="25"/>
    <x v="4"/>
    <x v="1"/>
  </r>
  <r>
    <s v="P257"/>
    <x v="3"/>
    <d v="2025-04-06T00:00:00"/>
    <x v="4"/>
    <s v="Check out our latest image on facebook!"/>
    <n v="3090"/>
    <n v="697"/>
    <n v="164"/>
    <n v="49440"/>
    <n v="3951"/>
    <n v="7.9915048543689318E-2"/>
    <n v="48524"/>
    <n v="25"/>
    <x v="4"/>
    <x v="1"/>
  </r>
  <r>
    <s v="P257"/>
    <x v="3"/>
    <d v="2025-04-06T00:00:00"/>
    <x v="4"/>
    <s v="Check out our latest image on facebook!"/>
    <n v="3090"/>
    <n v="697"/>
    <n v="164"/>
    <n v="49440"/>
    <n v="3951"/>
    <n v="7.9915048543689318E-2"/>
    <n v="48524"/>
    <n v="25"/>
    <x v="3"/>
    <x v="1"/>
  </r>
  <r>
    <s v="P258"/>
    <x v="2"/>
    <d v="2024-08-05T00:00:00"/>
    <x v="2"/>
    <s v="Check out our latest story on instagram!"/>
    <n v="3601"/>
    <n v="695"/>
    <n v="75"/>
    <n v="21606"/>
    <n v="4371"/>
    <n v="0.2023049153013052"/>
    <n v="21454"/>
    <n v="172"/>
    <x v="4"/>
    <x v="1"/>
  </r>
  <r>
    <s v="P259"/>
    <x v="3"/>
    <d v="2025-02-10T00:00:00"/>
    <x v="1"/>
    <s v="Check out our latest text on facebook!"/>
    <n v="562"/>
    <n v="158"/>
    <n v="149"/>
    <n v="3372"/>
    <n v="869"/>
    <n v="0.25771055753262156"/>
    <n v="2940"/>
    <n v="93"/>
    <x v="2"/>
    <x v="0"/>
  </r>
  <r>
    <s v="P260"/>
    <x v="2"/>
    <d v="2025-02-12T00:00:00"/>
    <x v="2"/>
    <s v="Check out our latest story on instagram!"/>
    <n v="4332"/>
    <n v="771"/>
    <n v="219"/>
    <n v="60648"/>
    <n v="5322"/>
    <n v="8.7752275425405618E-2"/>
    <n v="60397"/>
    <n v="10"/>
    <x v="2"/>
    <x v="2"/>
  </r>
  <r>
    <s v="P260"/>
    <x v="2"/>
    <d v="2025-02-12T00:00:00"/>
    <x v="2"/>
    <s v="Check out our latest story on instagram!"/>
    <n v="4332"/>
    <n v="771"/>
    <n v="219"/>
    <n v="60648"/>
    <n v="5322"/>
    <n v="8.7752275425405618E-2"/>
    <n v="60397"/>
    <n v="10"/>
    <x v="4"/>
    <x v="2"/>
  </r>
  <r>
    <s v="P260"/>
    <x v="2"/>
    <d v="2025-02-12T00:00:00"/>
    <x v="2"/>
    <s v="Check out our latest story on instagram!"/>
    <n v="4332"/>
    <n v="771"/>
    <n v="219"/>
    <n v="60648"/>
    <n v="5322"/>
    <n v="8.7752275425405618E-2"/>
    <n v="60397"/>
    <n v="10"/>
    <x v="3"/>
    <x v="2"/>
  </r>
  <r>
    <s v="P261"/>
    <x v="2"/>
    <d v="2024-10-27T00:00:00"/>
    <x v="4"/>
    <s v="Check out our latest image on instagram!"/>
    <n v="4853"/>
    <n v="837"/>
    <n v="340"/>
    <n v="72795"/>
    <n v="6030"/>
    <n v="8.2835359571399134E-2"/>
    <n v="72237"/>
    <n v="170"/>
    <x v="4"/>
    <x v="0"/>
  </r>
  <r>
    <s v="P262"/>
    <x v="1"/>
    <d v="2025-01-18T00:00:00"/>
    <x v="4"/>
    <s v="Check out our latest image on youtube!"/>
    <n v="1206"/>
    <n v="238"/>
    <n v="36"/>
    <n v="9648"/>
    <n v="1480"/>
    <n v="0.15339966832504145"/>
    <n v="9417"/>
    <n v="237"/>
    <x v="2"/>
    <x v="4"/>
  </r>
  <r>
    <s v="P263"/>
    <x v="2"/>
    <d v="2024-08-20T00:00:00"/>
    <x v="0"/>
    <s v="Check out our latest reel on instagram!"/>
    <n v="2603"/>
    <n v="690"/>
    <n v="205"/>
    <n v="13015"/>
    <n v="3498"/>
    <n v="0.26876680752977333"/>
    <n v="12130"/>
    <n v="20"/>
    <x v="0"/>
    <x v="1"/>
  </r>
  <r>
    <s v="P264"/>
    <x v="0"/>
    <d v="2025-01-30T00:00:00"/>
    <x v="4"/>
    <s v="Check out our latest image on twitter!"/>
    <n v="59"/>
    <n v="163"/>
    <n v="93"/>
    <n v="590"/>
    <n v="315"/>
    <n v="0.53389830508474578"/>
    <n v="475"/>
    <n v="293"/>
    <x v="2"/>
    <x v="1"/>
  </r>
  <r>
    <s v="P265"/>
    <x v="0"/>
    <d v="2025-02-20T00:00:00"/>
    <x v="3"/>
    <s v="Check out our latest carousel on twitter!"/>
    <n v="1877"/>
    <n v="745"/>
    <n v="225"/>
    <n v="11262"/>
    <n v="2847"/>
    <n v="0.25279701651571657"/>
    <n v="10967"/>
    <n v="41"/>
    <x v="4"/>
    <x v="3"/>
  </r>
  <r>
    <s v="P266"/>
    <x v="3"/>
    <d v="2024-11-25T00:00:00"/>
    <x v="2"/>
    <s v="Check out our latest story on facebook!"/>
    <n v="4182"/>
    <n v="640"/>
    <n v="240"/>
    <n v="50184"/>
    <n v="5062"/>
    <n v="0.10086880280567512"/>
    <n v="49351"/>
    <n v="10"/>
    <x v="2"/>
    <x v="2"/>
  </r>
  <r>
    <s v="P267"/>
    <x v="0"/>
    <d v="2024-10-04T00:00:00"/>
    <x v="0"/>
    <s v="Check out our latest reel on twitter!"/>
    <n v="4187"/>
    <n v="66"/>
    <n v="31"/>
    <n v="66992"/>
    <n v="4284"/>
    <n v="6.3947934081681396E-2"/>
    <n v="66614"/>
    <n v="62"/>
    <x v="0"/>
    <x v="4"/>
  </r>
  <r>
    <s v="P268"/>
    <x v="2"/>
    <d v="2025-04-13T00:00:00"/>
    <x v="0"/>
    <s v="Check out our latest reel on instagram!"/>
    <n v="4579"/>
    <n v="125"/>
    <n v="300"/>
    <n v="59527"/>
    <n v="5004"/>
    <n v="8.4062694239588759E-2"/>
    <n v="59400"/>
    <n v="269"/>
    <x v="4"/>
    <x v="0"/>
  </r>
  <r>
    <s v="P269"/>
    <x v="2"/>
    <d v="2024-11-05T00:00:00"/>
    <x v="5"/>
    <s v="Check out our latest video on instagram!"/>
    <n v="4561"/>
    <n v="51"/>
    <n v="441"/>
    <n v="22805"/>
    <n v="5053"/>
    <n v="0.22157421618066214"/>
    <n v="21890"/>
    <n v="45"/>
    <x v="2"/>
    <x v="1"/>
  </r>
  <r>
    <s v="P270"/>
    <x v="1"/>
    <d v="2025-01-15T00:00:00"/>
    <x v="0"/>
    <s v="Check out our latest reel on youtube!"/>
    <n v="3774"/>
    <n v="239"/>
    <n v="39"/>
    <n v="60384"/>
    <n v="4052"/>
    <n v="6.7103868574456813E-2"/>
    <n v="59490"/>
    <n v="241"/>
    <x v="2"/>
    <x v="2"/>
  </r>
  <r>
    <s v="P271"/>
    <x v="2"/>
    <d v="2024-10-17T00:00:00"/>
    <x v="5"/>
    <s v="Check out our latest video on instagram!"/>
    <n v="3575"/>
    <n v="749"/>
    <n v="111"/>
    <n v="21450"/>
    <n v="4435"/>
    <n v="0.20675990675990677"/>
    <n v="20785"/>
    <n v="195"/>
    <x v="4"/>
    <x v="1"/>
  </r>
  <r>
    <s v="P272"/>
    <x v="2"/>
    <d v="2025-03-27T00:00:00"/>
    <x v="1"/>
    <s v="Check out our latest text on instagram!"/>
    <n v="4941"/>
    <n v="414"/>
    <n v="266"/>
    <n v="39528"/>
    <n v="5621"/>
    <n v="0.14220299534507186"/>
    <n v="39154"/>
    <n v="217"/>
    <x v="2"/>
    <x v="2"/>
  </r>
  <r>
    <s v="P273"/>
    <x v="1"/>
    <d v="2024-10-12T00:00:00"/>
    <x v="2"/>
    <s v="Check out our latest story on youtube!"/>
    <n v="3641"/>
    <n v="226"/>
    <n v="46"/>
    <n v="40051"/>
    <n v="3913"/>
    <n v="9.7700431949264685E-2"/>
    <n v="39319"/>
    <n v="296"/>
    <x v="4"/>
    <x v="3"/>
  </r>
  <r>
    <s v="P274"/>
    <x v="0"/>
    <d v="2025-01-01T00:00:00"/>
    <x v="3"/>
    <s v="Check out our latest carousel on twitter!"/>
    <n v="3535"/>
    <n v="494"/>
    <n v="152"/>
    <n v="53025"/>
    <n v="4181"/>
    <n v="7.8849599245638849E-2"/>
    <n v="52791"/>
    <n v="44"/>
    <x v="2"/>
    <x v="3"/>
  </r>
  <r>
    <s v="P275"/>
    <x v="3"/>
    <d v="2024-08-05T00:00:00"/>
    <x v="0"/>
    <s v="Check out our latest reel on facebook!"/>
    <n v="1741"/>
    <n v="831"/>
    <n v="345"/>
    <n v="17410"/>
    <n v="2917"/>
    <n v="0.16754738655944859"/>
    <n v="16844"/>
    <n v="58"/>
    <x v="4"/>
    <x v="2"/>
  </r>
  <r>
    <s v="P276"/>
    <x v="0"/>
    <d v="2024-06-07T00:00:00"/>
    <x v="3"/>
    <s v="Check out our latest carousel on twitter!"/>
    <n v="1556"/>
    <n v="195"/>
    <n v="131"/>
    <n v="9336"/>
    <n v="1882"/>
    <n v="0.2015852613538989"/>
    <n v="8875"/>
    <n v="137"/>
    <x v="2"/>
    <x v="1"/>
  </r>
  <r>
    <s v="P277"/>
    <x v="3"/>
    <d v="2025-04-06T00:00:00"/>
    <x v="4"/>
    <s v="Check out our latest image on facebook!"/>
    <n v="4236"/>
    <n v="711"/>
    <n v="298"/>
    <n v="21180"/>
    <n v="5245"/>
    <n v="0.24763928234183191"/>
    <n v="20516"/>
    <n v="238"/>
    <x v="0"/>
    <x v="0"/>
  </r>
  <r>
    <s v="P278"/>
    <x v="0"/>
    <d v="2024-11-26T00:00:00"/>
    <x v="1"/>
    <s v="Check out our latest text on twitter!"/>
    <n v="4516"/>
    <n v="836"/>
    <n v="169"/>
    <n v="49676"/>
    <n v="5521"/>
    <n v="0.11114018842096787"/>
    <n v="49257"/>
    <n v="282"/>
    <x v="4"/>
    <x v="3"/>
  </r>
  <r>
    <s v="P279"/>
    <x v="1"/>
    <d v="2024-09-02T00:00:00"/>
    <x v="4"/>
    <s v="Check out our latest image on youtube!"/>
    <n v="4905"/>
    <n v="845"/>
    <n v="129"/>
    <n v="98100"/>
    <n v="5879"/>
    <n v="5.9928644240570844E-2"/>
    <n v="97772"/>
    <n v="279"/>
    <x v="2"/>
    <x v="1"/>
  </r>
  <r>
    <s v="P280"/>
    <x v="1"/>
    <d v="2024-10-21T00:00:00"/>
    <x v="5"/>
    <s v="Check out our latest video on youtube!"/>
    <n v="4275"/>
    <n v="680"/>
    <n v="385"/>
    <n v="64125"/>
    <n v="5340"/>
    <n v="8.3274853801169585E-2"/>
    <n v="63650"/>
    <n v="104"/>
    <x v="4"/>
    <x v="3"/>
  </r>
  <r>
    <s v="P280"/>
    <x v="1"/>
    <d v="2024-10-21T00:00:00"/>
    <x v="5"/>
    <s v="Check out our latest video on youtube!"/>
    <n v="4275"/>
    <n v="680"/>
    <n v="385"/>
    <n v="64125"/>
    <n v="5340"/>
    <n v="8.3274853801169585E-2"/>
    <n v="63650"/>
    <n v="104"/>
    <x v="2"/>
    <x v="3"/>
  </r>
  <r>
    <s v="P280"/>
    <x v="1"/>
    <d v="2024-10-21T00:00:00"/>
    <x v="5"/>
    <s v="Check out our latest video on youtube!"/>
    <n v="4275"/>
    <n v="680"/>
    <n v="385"/>
    <n v="64125"/>
    <n v="5340"/>
    <n v="8.3274853801169585E-2"/>
    <n v="63650"/>
    <n v="104"/>
    <x v="1"/>
    <x v="3"/>
  </r>
  <r>
    <s v="P281"/>
    <x v="1"/>
    <d v="2025-03-22T00:00:00"/>
    <x v="4"/>
    <s v="Check out our latest image on youtube!"/>
    <n v="3166"/>
    <n v="90"/>
    <n v="341"/>
    <n v="56988"/>
    <n v="3597"/>
    <n v="6.3118551273952411E-2"/>
    <n v="56125"/>
    <n v="135"/>
    <x v="4"/>
    <x v="1"/>
  </r>
  <r>
    <s v="P282"/>
    <x v="2"/>
    <d v="2024-10-03T00:00:00"/>
    <x v="5"/>
    <s v="Check out our latest video on instagram!"/>
    <n v="1488"/>
    <n v="417"/>
    <n v="168"/>
    <n v="19344"/>
    <n v="2073"/>
    <n v="0.1071650124069479"/>
    <n v="18395"/>
    <n v="30"/>
    <x v="0"/>
    <x v="2"/>
  </r>
  <r>
    <s v="P283"/>
    <x v="0"/>
    <d v="2025-05-09T00:00:00"/>
    <x v="0"/>
    <s v="Check out our latest reel on twitter!"/>
    <n v="3367"/>
    <n v="302"/>
    <n v="57"/>
    <n v="63973"/>
    <n v="3726"/>
    <n v="5.8243321401216137E-2"/>
    <n v="63789"/>
    <n v="157"/>
    <x v="0"/>
    <x v="1"/>
  </r>
  <r>
    <s v="P284"/>
    <x v="0"/>
    <d v="2024-09-17T00:00:00"/>
    <x v="1"/>
    <s v="Check out our latest text on twitter!"/>
    <n v="571"/>
    <n v="190"/>
    <n v="352"/>
    <n v="9707"/>
    <n v="1113"/>
    <n v="0.11465952405480581"/>
    <n v="9418"/>
    <n v="231"/>
    <x v="2"/>
    <x v="3"/>
  </r>
  <r>
    <s v="P285"/>
    <x v="1"/>
    <d v="2024-07-18T00:00:00"/>
    <x v="1"/>
    <s v="Check out our latest text on youtube!"/>
    <n v="4021"/>
    <n v="794"/>
    <n v="77"/>
    <n v="36189"/>
    <n v="4892"/>
    <n v="0.13517919809886983"/>
    <n v="35505"/>
    <n v="174"/>
    <x v="4"/>
    <x v="4"/>
  </r>
  <r>
    <s v="P286"/>
    <x v="1"/>
    <d v="2024-09-25T00:00:00"/>
    <x v="5"/>
    <s v="Check out our latest video on youtube!"/>
    <n v="3389"/>
    <n v="344"/>
    <n v="229"/>
    <n v="20334"/>
    <n v="3962"/>
    <n v="0.19484607062063539"/>
    <n v="19443"/>
    <n v="228"/>
    <x v="0"/>
    <x v="2"/>
  </r>
  <r>
    <s v="P287"/>
    <x v="2"/>
    <d v="2024-08-15T00:00:00"/>
    <x v="0"/>
    <s v="Check out our latest reel on instagram!"/>
    <n v="1164"/>
    <n v="616"/>
    <n v="324"/>
    <n v="6984"/>
    <n v="2104"/>
    <n v="0.30126002290950743"/>
    <n v="6636"/>
    <n v="82"/>
    <x v="4"/>
    <x v="0"/>
  </r>
  <r>
    <s v="P288"/>
    <x v="1"/>
    <d v="2025-04-17T00:00:00"/>
    <x v="3"/>
    <s v="Check out our latest carousel on youtube!"/>
    <n v="4780"/>
    <n v="691"/>
    <n v="380"/>
    <n v="86040"/>
    <n v="5851"/>
    <n v="6.800325430032543E-2"/>
    <n v="85743"/>
    <n v="262"/>
    <x v="0"/>
    <x v="2"/>
  </r>
  <r>
    <s v="P289"/>
    <x v="3"/>
    <d v="2024-11-28T00:00:00"/>
    <x v="3"/>
    <s v="Check out our latest carousel on facebook!"/>
    <n v="2751"/>
    <n v="33"/>
    <n v="430"/>
    <n v="44016"/>
    <n v="3214"/>
    <n v="7.3018902217375503E-2"/>
    <n v="43415"/>
    <n v="129"/>
    <x v="0"/>
    <x v="4"/>
  </r>
  <r>
    <s v="P290"/>
    <x v="2"/>
    <d v="2024-12-20T00:00:00"/>
    <x v="3"/>
    <s v="Check out our latest carousel on instagram!"/>
    <n v="2107"/>
    <n v="550"/>
    <n v="349"/>
    <n v="35819"/>
    <n v="3006"/>
    <n v="8.3921940869371006E-2"/>
    <n v="35340"/>
    <n v="191"/>
    <x v="4"/>
    <x v="3"/>
  </r>
  <r>
    <s v="P291"/>
    <x v="3"/>
    <d v="2024-11-06T00:00:00"/>
    <x v="5"/>
    <s v="Check out our latest video on facebook!"/>
    <n v="4663"/>
    <n v="145"/>
    <n v="225"/>
    <n v="69945"/>
    <n v="5033"/>
    <n v="7.1956537279290869E-2"/>
    <n v="69596"/>
    <n v="35"/>
    <x v="4"/>
    <x v="3"/>
  </r>
  <r>
    <s v="P292"/>
    <x v="3"/>
    <d v="2024-11-17T00:00:00"/>
    <x v="1"/>
    <s v="Check out our latest text on facebook!"/>
    <n v="880"/>
    <n v="297"/>
    <n v="345"/>
    <n v="12320"/>
    <n v="1522"/>
    <n v="0.12353896103896105"/>
    <n v="11978"/>
    <n v="238"/>
    <x v="2"/>
    <x v="4"/>
  </r>
  <r>
    <s v="P292"/>
    <x v="3"/>
    <d v="2024-11-17T00:00:00"/>
    <x v="1"/>
    <s v="Check out our latest text on facebook!"/>
    <n v="880"/>
    <n v="297"/>
    <n v="345"/>
    <n v="12320"/>
    <n v="1522"/>
    <n v="0.12353896103896105"/>
    <n v="11978"/>
    <n v="238"/>
    <x v="1"/>
    <x v="4"/>
  </r>
  <r>
    <s v="P293"/>
    <x v="3"/>
    <d v="2025-05-14T00:00:00"/>
    <x v="1"/>
    <s v="Check out our latest text on facebook!"/>
    <n v="2634"/>
    <n v="726"/>
    <n v="241"/>
    <n v="28974"/>
    <n v="3601"/>
    <n v="0.12428384068475185"/>
    <n v="28102"/>
    <n v="277"/>
    <x v="4"/>
    <x v="0"/>
  </r>
  <r>
    <s v="P294"/>
    <x v="3"/>
    <d v="2024-06-19T00:00:00"/>
    <x v="3"/>
    <s v="Check out our latest carousel on facebook!"/>
    <n v="4731"/>
    <n v="173"/>
    <n v="276"/>
    <n v="28386"/>
    <n v="5180"/>
    <n v="0.18248432325794406"/>
    <n v="28185"/>
    <n v="89"/>
    <x v="4"/>
    <x v="2"/>
  </r>
  <r>
    <s v="P295"/>
    <x v="0"/>
    <d v="2025-05-06T00:00:00"/>
    <x v="4"/>
    <s v="Check out our latest image on twitter!"/>
    <n v="1952"/>
    <n v="344"/>
    <n v="287"/>
    <n v="15616"/>
    <n v="2583"/>
    <n v="0.16540727459016394"/>
    <n v="15403"/>
    <n v="235"/>
    <x v="0"/>
    <x v="1"/>
  </r>
  <r>
    <s v="P295"/>
    <x v="0"/>
    <d v="2025-05-06T00:00:00"/>
    <x v="4"/>
    <s v="Check out our latest image on twitter!"/>
    <n v="1952"/>
    <n v="344"/>
    <n v="287"/>
    <n v="15616"/>
    <n v="2583"/>
    <n v="0.16540727459016394"/>
    <n v="15403"/>
    <n v="235"/>
    <x v="2"/>
    <x v="1"/>
  </r>
  <r>
    <s v="P295"/>
    <x v="0"/>
    <d v="2025-05-06T00:00:00"/>
    <x v="4"/>
    <s v="Check out our latest image on twitter!"/>
    <n v="1952"/>
    <n v="344"/>
    <n v="287"/>
    <n v="15616"/>
    <n v="2583"/>
    <n v="0.16540727459016394"/>
    <n v="15403"/>
    <n v="235"/>
    <x v="1"/>
    <x v="1"/>
  </r>
  <r>
    <s v="P296"/>
    <x v="0"/>
    <d v="2025-02-11T00:00:00"/>
    <x v="5"/>
    <s v="Check out our latest video on twitter!"/>
    <n v="3440"/>
    <n v="13"/>
    <n v="20"/>
    <n v="58480"/>
    <n v="3473"/>
    <n v="5.9387824897400819E-2"/>
    <n v="58146"/>
    <n v="210"/>
    <x v="2"/>
    <x v="3"/>
  </r>
  <r>
    <s v="P296"/>
    <x v="0"/>
    <d v="2025-02-11T00:00:00"/>
    <x v="5"/>
    <s v="Check out our latest video on twitter!"/>
    <n v="3440"/>
    <n v="13"/>
    <n v="20"/>
    <n v="58480"/>
    <n v="3473"/>
    <n v="5.9387824897400819E-2"/>
    <n v="58146"/>
    <n v="210"/>
    <x v="5"/>
    <x v="3"/>
  </r>
  <r>
    <s v="P297"/>
    <x v="0"/>
    <d v="2024-12-24T00:00:00"/>
    <x v="1"/>
    <s v="Check out our latest text on twitter!"/>
    <n v="2166"/>
    <n v="354"/>
    <n v="117"/>
    <n v="10830"/>
    <n v="2637"/>
    <n v="0.24349030470914126"/>
    <n v="10245"/>
    <n v="24"/>
    <x v="4"/>
    <x v="3"/>
  </r>
  <r>
    <s v="P298"/>
    <x v="3"/>
    <d v="2024-10-24T00:00:00"/>
    <x v="4"/>
    <s v="Check out our latest image on facebook!"/>
    <n v="4303"/>
    <n v="451"/>
    <n v="286"/>
    <n v="86060"/>
    <n v="5040"/>
    <n v="5.8563792702765516E-2"/>
    <n v="85823"/>
    <n v="14"/>
    <x v="2"/>
    <x v="2"/>
  </r>
  <r>
    <s v="P299"/>
    <x v="3"/>
    <d v="2024-08-26T00:00:00"/>
    <x v="4"/>
    <s v="Check out our latest image on facebook!"/>
    <n v="2581"/>
    <n v="517"/>
    <n v="117"/>
    <n v="23229"/>
    <n v="3215"/>
    <n v="0.13840458048129492"/>
    <n v="22331"/>
    <n v="70"/>
    <x v="0"/>
    <x v="2"/>
  </r>
  <r>
    <s v="P300"/>
    <x v="0"/>
    <d v="2024-08-31T00:00:00"/>
    <x v="3"/>
    <s v="Check out our latest carousel on twitter!"/>
    <n v="4494"/>
    <n v="717"/>
    <n v="45"/>
    <n v="62916"/>
    <n v="5256"/>
    <n v="8.3539958039290485E-2"/>
    <n v="62688"/>
    <n v="191"/>
    <x v="2"/>
    <x v="0"/>
  </r>
  <r>
    <s v="P300"/>
    <x v="0"/>
    <d v="2024-08-31T00:00:00"/>
    <x v="3"/>
    <s v="Check out our latest carousel on twitter!"/>
    <n v="4494"/>
    <n v="717"/>
    <n v="45"/>
    <n v="62916"/>
    <n v="5256"/>
    <n v="8.3539958039290485E-2"/>
    <n v="62688"/>
    <n v="191"/>
    <x v="4"/>
    <x v="0"/>
  </r>
  <r>
    <s v="P300"/>
    <x v="0"/>
    <d v="2024-08-31T00:00:00"/>
    <x v="3"/>
    <s v="Check out our latest carousel on twitter!"/>
    <n v="4494"/>
    <n v="717"/>
    <n v="45"/>
    <n v="62916"/>
    <n v="5256"/>
    <n v="8.3539958039290485E-2"/>
    <n v="62688"/>
    <n v="191"/>
    <x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x v="0"/>
    <n v="1135"/>
    <n v="88"/>
    <n v="1047"/>
    <n v="344084"/>
    <n v="3.0428616268120576E-3"/>
    <n v="8.06"/>
    <n v="5904"/>
  </r>
  <r>
    <d v="2024-06-03T00:00:00"/>
    <x v="0"/>
    <x v="1"/>
    <n v="1312"/>
    <n v="310"/>
    <n v="1002"/>
    <n v="42654"/>
    <n v="2.3491348994232664E-2"/>
    <n v="4.9800000000000004"/>
    <n v="9566"/>
  </r>
  <r>
    <d v="2024-06-03T00:00:00"/>
    <x v="0"/>
    <x v="2"/>
    <n v="584"/>
    <n v="169"/>
    <n v="415"/>
    <n v="146834"/>
    <n v="2.826320879360366E-3"/>
    <n v="8.31"/>
    <n v="26752"/>
  </r>
  <r>
    <d v="2024-06-03T00:00:00"/>
    <x v="0"/>
    <x v="3"/>
    <n v="1535"/>
    <n v="445"/>
    <n v="1090"/>
    <n v="395536"/>
    <n v="2.7557542170624167E-3"/>
    <n v="4.1100000000000003"/>
    <n v="30671"/>
  </r>
  <r>
    <d v="2024-06-10T00:00:00"/>
    <x v="1"/>
    <x v="0"/>
    <n v="656"/>
    <n v="139"/>
    <n v="517"/>
    <n v="49157"/>
    <n v="1.0517322049758936E-2"/>
    <n v="9.0500000000000007"/>
    <n v="9920"/>
  </r>
  <r>
    <d v="2024-06-10T00:00:00"/>
    <x v="1"/>
    <x v="1"/>
    <n v="1697"/>
    <n v="414"/>
    <n v="1283"/>
    <n v="316555"/>
    <n v="4.0530081660374974E-3"/>
    <n v="2.37"/>
    <n v="7924"/>
  </r>
  <r>
    <d v="2024-06-10T00:00:00"/>
    <x v="1"/>
    <x v="2"/>
    <n v="436"/>
    <n v="250"/>
    <n v="186"/>
    <n v="254347"/>
    <n v="7.3128442639386348E-4"/>
    <n v="4.01"/>
    <n v="8912"/>
  </r>
  <r>
    <d v="2024-06-10T00:00:00"/>
    <x v="1"/>
    <x v="3"/>
    <n v="1197"/>
    <n v="203"/>
    <n v="994"/>
    <n v="413878"/>
    <n v="2.4016739232334168E-3"/>
    <n v="3.16"/>
    <n v="21205"/>
  </r>
  <r>
    <d v="2024-06-17T00:00:00"/>
    <x v="2"/>
    <x v="0"/>
    <n v="1048"/>
    <n v="155"/>
    <n v="893"/>
    <n v="456946"/>
    <n v="1.9542790614208243E-3"/>
    <n v="2.46"/>
    <n v="11329"/>
  </r>
  <r>
    <d v="2024-06-17T00:00:00"/>
    <x v="2"/>
    <x v="1"/>
    <n v="1753"/>
    <n v="371"/>
    <n v="1382"/>
    <n v="169496"/>
    <n v="8.1535847453627231E-3"/>
    <n v="8.11"/>
    <n v="46670"/>
  </r>
  <r>
    <d v="2024-06-17T00:00:00"/>
    <x v="2"/>
    <x v="2"/>
    <n v="1335"/>
    <n v="40"/>
    <n v="1295"/>
    <n v="122732"/>
    <n v="1.0551445425805821E-2"/>
    <n v="8.19"/>
    <n v="22482"/>
  </r>
  <r>
    <d v="2024-06-17T00:00:00"/>
    <x v="2"/>
    <x v="3"/>
    <n v="403"/>
    <n v="66"/>
    <n v="337"/>
    <n v="382851"/>
    <n v="8.80238003818718E-4"/>
    <n v="3.49"/>
    <n v="24313"/>
  </r>
  <r>
    <d v="2024-06-24T00:00:00"/>
    <x v="3"/>
    <x v="0"/>
    <n v="911"/>
    <n v="282"/>
    <n v="629"/>
    <n v="35664"/>
    <n v="1.7636832660385824E-2"/>
    <n v="6.92"/>
    <n v="18050"/>
  </r>
  <r>
    <d v="2024-06-24T00:00:00"/>
    <x v="3"/>
    <x v="1"/>
    <n v="1779"/>
    <n v="109"/>
    <n v="1670"/>
    <n v="26295"/>
    <n v="6.3510173036698994E-2"/>
    <n v="9.1199999999999992"/>
    <n v="30635"/>
  </r>
  <r>
    <d v="2024-06-24T00:00:00"/>
    <x v="3"/>
    <x v="2"/>
    <n v="1238"/>
    <n v="403"/>
    <n v="835"/>
    <n v="298421"/>
    <n v="2.798060458211721E-3"/>
    <n v="3.5"/>
    <n v="31280"/>
  </r>
  <r>
    <d v="2024-06-24T00:00:00"/>
    <x v="3"/>
    <x v="3"/>
    <n v="308"/>
    <n v="431"/>
    <n v="-123"/>
    <n v="426184"/>
    <n v="-2.8860773750305035E-4"/>
    <n v="2.62"/>
    <n v="1783"/>
  </r>
  <r>
    <d v="2024-07-01T00:00:00"/>
    <x v="4"/>
    <x v="0"/>
    <n v="226"/>
    <n v="445"/>
    <n v="-219"/>
    <n v="419447"/>
    <n v="-5.2211602419375983E-4"/>
    <n v="9.36"/>
    <n v="9566"/>
  </r>
  <r>
    <d v="2024-07-01T00:00:00"/>
    <x v="4"/>
    <x v="1"/>
    <n v="505"/>
    <n v="441"/>
    <n v="64"/>
    <n v="220020"/>
    <n v="2.9088264703208797E-4"/>
    <n v="4.4800000000000004"/>
    <n v="42307"/>
  </r>
  <r>
    <d v="2024-07-01T00:00:00"/>
    <x v="4"/>
    <x v="2"/>
    <n v="1420"/>
    <n v="63"/>
    <n v="1357"/>
    <n v="315305"/>
    <n v="4.3037693661692649E-3"/>
    <n v="6.19"/>
    <n v="5914"/>
  </r>
  <r>
    <d v="2024-07-01T00:00:00"/>
    <x v="4"/>
    <x v="3"/>
    <n v="144"/>
    <n v="53"/>
    <n v="91"/>
    <n v="113678"/>
    <n v="8.0050669434719116E-4"/>
    <n v="8.7200000000000006"/>
    <n v="30060"/>
  </r>
  <r>
    <d v="2024-07-08T00:00:00"/>
    <x v="5"/>
    <x v="0"/>
    <n v="1757"/>
    <n v="85"/>
    <n v="1672"/>
    <n v="58223"/>
    <n v="2.8717173625543171E-2"/>
    <n v="8.74"/>
    <n v="22728"/>
  </r>
  <r>
    <d v="2024-07-08T00:00:00"/>
    <x v="5"/>
    <x v="1"/>
    <n v="350"/>
    <n v="41"/>
    <n v="309"/>
    <n v="251694"/>
    <n v="1.2276812319721568E-3"/>
    <n v="1.91"/>
    <n v="38610"/>
  </r>
  <r>
    <d v="2024-07-08T00:00:00"/>
    <x v="5"/>
    <x v="2"/>
    <n v="987"/>
    <n v="440"/>
    <n v="547"/>
    <n v="389810"/>
    <n v="1.40324773607655E-3"/>
    <n v="4.66"/>
    <n v="2932"/>
  </r>
  <r>
    <d v="2024-07-08T00:00:00"/>
    <x v="5"/>
    <x v="3"/>
    <n v="883"/>
    <n v="369"/>
    <n v="514"/>
    <n v="233694"/>
    <n v="2.1994574101175039E-3"/>
    <n v="2.88"/>
    <n v="15071"/>
  </r>
  <r>
    <d v="2024-07-15T00:00:00"/>
    <x v="6"/>
    <x v="0"/>
    <n v="1960"/>
    <n v="115"/>
    <n v="1845"/>
    <n v="154169"/>
    <n v="1.1967386439556591E-2"/>
    <n v="3.74"/>
    <n v="10740"/>
  </r>
  <r>
    <d v="2024-07-15T00:00:00"/>
    <x v="6"/>
    <x v="1"/>
    <n v="170"/>
    <n v="334"/>
    <n v="-164"/>
    <n v="334626"/>
    <n v="-4.9009939454794306E-4"/>
    <n v="6.44"/>
    <n v="43420"/>
  </r>
  <r>
    <d v="2024-07-15T00:00:00"/>
    <x v="6"/>
    <x v="2"/>
    <n v="704"/>
    <n v="275"/>
    <n v="429"/>
    <n v="226002"/>
    <n v="1.8982132901478749E-3"/>
    <n v="8.56"/>
    <n v="32393"/>
  </r>
  <r>
    <d v="2024-07-15T00:00:00"/>
    <x v="6"/>
    <x v="3"/>
    <n v="224"/>
    <n v="64"/>
    <n v="160"/>
    <n v="156683"/>
    <n v="1.0211701333265254E-3"/>
    <n v="4.5599999999999996"/>
    <n v="28474"/>
  </r>
  <r>
    <d v="2024-07-22T00:00:00"/>
    <x v="7"/>
    <x v="0"/>
    <n v="508"/>
    <n v="349"/>
    <n v="159"/>
    <n v="473812"/>
    <n v="3.3557613568250698E-4"/>
    <n v="7.88"/>
    <n v="17328"/>
  </r>
  <r>
    <d v="2024-07-22T00:00:00"/>
    <x v="7"/>
    <x v="1"/>
    <n v="1391"/>
    <n v="430"/>
    <n v="961"/>
    <n v="295032"/>
    <n v="3.2572737872501967E-3"/>
    <n v="7.86"/>
    <n v="26067"/>
  </r>
  <r>
    <d v="2024-07-22T00:00:00"/>
    <x v="7"/>
    <x v="2"/>
    <n v="1701"/>
    <n v="385"/>
    <n v="1316"/>
    <n v="198278"/>
    <n v="6.6371458255580548E-3"/>
    <n v="5.34"/>
    <n v="32763"/>
  </r>
  <r>
    <d v="2024-07-22T00:00:00"/>
    <x v="7"/>
    <x v="3"/>
    <n v="804"/>
    <n v="487"/>
    <n v="317"/>
    <n v="306564"/>
    <n v="1.0340418313957282E-3"/>
    <n v="5.52"/>
    <n v="26452"/>
  </r>
  <r>
    <d v="2024-07-29T00:00:00"/>
    <x v="8"/>
    <x v="0"/>
    <n v="653"/>
    <n v="112"/>
    <n v="541"/>
    <n v="23664"/>
    <n v="2.2861730899256253E-2"/>
    <n v="4.05"/>
    <n v="15353"/>
  </r>
  <r>
    <d v="2024-07-29T00:00:00"/>
    <x v="8"/>
    <x v="1"/>
    <n v="160"/>
    <n v="478"/>
    <n v="-318"/>
    <n v="435034"/>
    <n v="-7.3097734889686784E-4"/>
    <n v="7.73"/>
    <n v="4839"/>
  </r>
  <r>
    <d v="2024-07-29T00:00:00"/>
    <x v="8"/>
    <x v="2"/>
    <n v="1756"/>
    <n v="261"/>
    <n v="1495"/>
    <n v="287574"/>
    <n v="5.1986619096302169E-3"/>
    <n v="4.3600000000000003"/>
    <n v="39272"/>
  </r>
  <r>
    <d v="2024-07-29T00:00:00"/>
    <x v="8"/>
    <x v="3"/>
    <n v="576"/>
    <n v="101"/>
    <n v="475"/>
    <n v="62499"/>
    <n v="7.600121601945631E-3"/>
    <n v="3.48"/>
    <n v="16804"/>
  </r>
  <r>
    <d v="2024-08-05T00:00:00"/>
    <x v="9"/>
    <x v="0"/>
    <n v="645"/>
    <n v="293"/>
    <n v="352"/>
    <n v="437968"/>
    <n v="8.0371168669857163E-4"/>
    <n v="7.83"/>
    <n v="49303"/>
  </r>
  <r>
    <d v="2024-08-05T00:00:00"/>
    <x v="9"/>
    <x v="1"/>
    <n v="214"/>
    <n v="411"/>
    <n v="-197"/>
    <n v="125034"/>
    <n v="-1.5755714445670778E-3"/>
    <n v="6.11"/>
    <n v="26455"/>
  </r>
  <r>
    <d v="2024-08-05T00:00:00"/>
    <x v="9"/>
    <x v="2"/>
    <n v="826"/>
    <n v="498"/>
    <n v="328"/>
    <n v="449994"/>
    <n v="7.2889860753698943E-4"/>
    <n v="9.43"/>
    <n v="12384"/>
  </r>
  <r>
    <d v="2024-08-05T00:00:00"/>
    <x v="9"/>
    <x v="3"/>
    <n v="460"/>
    <n v="141"/>
    <n v="319"/>
    <n v="320650"/>
    <n v="9.9485420240137223E-4"/>
    <n v="4.04"/>
    <n v="49372"/>
  </r>
  <r>
    <d v="2024-08-12T00:00:00"/>
    <x v="10"/>
    <x v="0"/>
    <n v="1528"/>
    <n v="203"/>
    <n v="1325"/>
    <n v="489188"/>
    <n v="2.7085701202809553E-3"/>
    <n v="6.23"/>
    <n v="47101"/>
  </r>
  <r>
    <d v="2024-08-12T00:00:00"/>
    <x v="10"/>
    <x v="1"/>
    <n v="1534"/>
    <n v="200"/>
    <n v="1334"/>
    <n v="307612"/>
    <n v="4.3366318609156986E-3"/>
    <n v="6.01"/>
    <n v="37903"/>
  </r>
  <r>
    <d v="2024-08-12T00:00:00"/>
    <x v="10"/>
    <x v="2"/>
    <n v="485"/>
    <n v="448"/>
    <n v="37"/>
    <n v="434883"/>
    <n v="8.5080354946042954E-5"/>
    <n v="8.5500000000000007"/>
    <n v="33258"/>
  </r>
  <r>
    <d v="2024-08-12T00:00:00"/>
    <x v="10"/>
    <x v="3"/>
    <n v="1210"/>
    <n v="178"/>
    <n v="1032"/>
    <n v="102042"/>
    <n v="1.011348268360087E-2"/>
    <n v="5.42"/>
    <n v="6915"/>
  </r>
  <r>
    <d v="2024-08-19T00:00:00"/>
    <x v="11"/>
    <x v="0"/>
    <n v="215"/>
    <n v="139"/>
    <n v="76"/>
    <n v="325444"/>
    <n v="2.335271198731579E-4"/>
    <n v="3.25"/>
    <n v="35501"/>
  </r>
  <r>
    <d v="2024-08-19T00:00:00"/>
    <x v="11"/>
    <x v="1"/>
    <n v="1078"/>
    <n v="20"/>
    <n v="1058"/>
    <n v="183924"/>
    <n v="5.7523759813836147E-3"/>
    <n v="8.84"/>
    <n v="14203"/>
  </r>
  <r>
    <d v="2024-08-19T00:00:00"/>
    <x v="11"/>
    <x v="2"/>
    <n v="1751"/>
    <n v="86"/>
    <n v="1665"/>
    <n v="188655"/>
    <n v="8.825634093981077E-3"/>
    <n v="7.24"/>
    <n v="22206"/>
  </r>
  <r>
    <d v="2024-08-19T00:00:00"/>
    <x v="11"/>
    <x v="3"/>
    <n v="221"/>
    <n v="31"/>
    <n v="190"/>
    <n v="87443"/>
    <n v="2.1728440241071327E-3"/>
    <n v="6.19"/>
    <n v="10283"/>
  </r>
  <r>
    <d v="2024-08-26T00:00:00"/>
    <x v="12"/>
    <x v="0"/>
    <n v="1685"/>
    <n v="76"/>
    <n v="1609"/>
    <n v="453799"/>
    <n v="3.5456226214689766E-3"/>
    <n v="5.71"/>
    <n v="24913"/>
  </r>
  <r>
    <d v="2024-08-26T00:00:00"/>
    <x v="12"/>
    <x v="1"/>
    <n v="248"/>
    <n v="211"/>
    <n v="37"/>
    <n v="379380"/>
    <n v="9.7527544941747058E-5"/>
    <n v="9.0399999999999991"/>
    <n v="26925"/>
  </r>
  <r>
    <d v="2024-08-26T00:00:00"/>
    <x v="12"/>
    <x v="2"/>
    <n v="1300"/>
    <n v="71"/>
    <n v="1229"/>
    <n v="186454"/>
    <n v="6.5914381026955706E-3"/>
    <n v="3.91"/>
    <n v="9942"/>
  </r>
  <r>
    <d v="2024-08-26T00:00:00"/>
    <x v="12"/>
    <x v="3"/>
    <n v="422"/>
    <n v="394"/>
    <n v="28"/>
    <n v="239044"/>
    <n v="1.1713324743561855E-4"/>
    <n v="7.83"/>
    <n v="32929"/>
  </r>
  <r>
    <d v="2024-09-02T00:00:00"/>
    <x v="13"/>
    <x v="0"/>
    <n v="1429"/>
    <n v="182"/>
    <n v="1247"/>
    <n v="101332"/>
    <n v="1.2306082974775983E-2"/>
    <n v="7.16"/>
    <n v="37829"/>
  </r>
  <r>
    <d v="2024-09-02T00:00:00"/>
    <x v="13"/>
    <x v="1"/>
    <n v="1520"/>
    <n v="475"/>
    <n v="1045"/>
    <n v="496982"/>
    <n v="2.1026918479944948E-3"/>
    <n v="6.41"/>
    <n v="24384"/>
  </r>
  <r>
    <d v="2024-09-02T00:00:00"/>
    <x v="13"/>
    <x v="2"/>
    <n v="557"/>
    <n v="360"/>
    <n v="197"/>
    <n v="318779"/>
    <n v="6.1798299135137512E-4"/>
    <n v="8.02"/>
    <n v="25797"/>
  </r>
  <r>
    <d v="2024-09-02T00:00:00"/>
    <x v="13"/>
    <x v="3"/>
    <n v="728"/>
    <n v="395"/>
    <n v="333"/>
    <n v="370971"/>
    <n v="8.9764429025449434E-4"/>
    <n v="3.86"/>
    <n v="12646"/>
  </r>
  <r>
    <d v="2024-09-09T00:00:00"/>
    <x v="14"/>
    <x v="0"/>
    <n v="1592"/>
    <n v="20"/>
    <n v="1572"/>
    <n v="378054"/>
    <n v="4.1581361392816901E-3"/>
    <n v="9.09"/>
    <n v="26663"/>
  </r>
  <r>
    <d v="2024-09-09T00:00:00"/>
    <x v="14"/>
    <x v="1"/>
    <n v="1842"/>
    <n v="414"/>
    <n v="1428"/>
    <n v="307524"/>
    <n v="4.6435400163889647E-3"/>
    <n v="1.76"/>
    <n v="40478"/>
  </r>
  <r>
    <d v="2024-09-09T00:00:00"/>
    <x v="14"/>
    <x v="2"/>
    <n v="751"/>
    <n v="491"/>
    <n v="260"/>
    <n v="434047"/>
    <n v="5.990134708914012E-4"/>
    <n v="9.24"/>
    <n v="15476"/>
  </r>
  <r>
    <d v="2024-09-09T00:00:00"/>
    <x v="14"/>
    <x v="3"/>
    <n v="1409"/>
    <n v="309"/>
    <n v="1100"/>
    <n v="64583"/>
    <n v="1.7032345973398571E-2"/>
    <n v="8.99"/>
    <n v="10217"/>
  </r>
  <r>
    <d v="2024-09-16T00:00:00"/>
    <x v="15"/>
    <x v="0"/>
    <n v="778"/>
    <n v="401"/>
    <n v="377"/>
    <n v="50793"/>
    <n v="7.4222825979957871E-3"/>
    <n v="3.4"/>
    <n v="21939"/>
  </r>
  <r>
    <d v="2024-09-16T00:00:00"/>
    <x v="15"/>
    <x v="1"/>
    <n v="443"/>
    <n v="345"/>
    <n v="98"/>
    <n v="474162"/>
    <n v="2.0668041724136477E-4"/>
    <n v="9.1999999999999993"/>
    <n v="47462"/>
  </r>
  <r>
    <d v="2024-09-16T00:00:00"/>
    <x v="15"/>
    <x v="2"/>
    <n v="1472"/>
    <n v="347"/>
    <n v="1125"/>
    <n v="392355"/>
    <n v="2.8673012960201858E-3"/>
    <n v="8.59"/>
    <n v="30270"/>
  </r>
  <r>
    <d v="2024-09-16T00:00:00"/>
    <x v="15"/>
    <x v="3"/>
    <n v="123"/>
    <n v="155"/>
    <n v="-32"/>
    <n v="119934"/>
    <n v="-2.6681341404439108E-4"/>
    <n v="3.5"/>
    <n v="5442"/>
  </r>
  <r>
    <d v="2024-09-23T00:00:00"/>
    <x v="16"/>
    <x v="0"/>
    <n v="817"/>
    <n v="151"/>
    <n v="666"/>
    <n v="422625"/>
    <n v="1.5758651286601596E-3"/>
    <n v="2.36"/>
    <n v="1083"/>
  </r>
  <r>
    <d v="2024-09-23T00:00:00"/>
    <x v="16"/>
    <x v="1"/>
    <n v="198"/>
    <n v="217"/>
    <n v="-19"/>
    <n v="239753"/>
    <n v="-7.9248226299566635E-5"/>
    <n v="7.36"/>
    <n v="11901"/>
  </r>
  <r>
    <d v="2024-09-23T00:00:00"/>
    <x v="16"/>
    <x v="2"/>
    <n v="1911"/>
    <n v="231"/>
    <n v="1680"/>
    <n v="268516"/>
    <n v="6.2566104068286429E-3"/>
    <n v="8.5500000000000007"/>
    <n v="24018"/>
  </r>
  <r>
    <d v="2024-09-23T00:00:00"/>
    <x v="16"/>
    <x v="3"/>
    <n v="1218"/>
    <n v="212"/>
    <n v="1006"/>
    <n v="63177"/>
    <n v="1.592351646960128E-2"/>
    <n v="8.1300000000000008"/>
    <n v="38883"/>
  </r>
  <r>
    <d v="2024-09-30T00:00:00"/>
    <x v="17"/>
    <x v="0"/>
    <n v="1433"/>
    <n v="408"/>
    <n v="1025"/>
    <n v="370269"/>
    <n v="2.7682576721248606E-3"/>
    <n v="3.3"/>
    <n v="30575"/>
  </r>
  <r>
    <d v="2024-09-30T00:00:00"/>
    <x v="17"/>
    <x v="1"/>
    <n v="250"/>
    <n v="429"/>
    <n v="-179"/>
    <n v="453423"/>
    <n v="-3.9477485703195471E-4"/>
    <n v="1.77"/>
    <n v="2315"/>
  </r>
  <r>
    <d v="2024-09-30T00:00:00"/>
    <x v="17"/>
    <x v="2"/>
    <n v="752"/>
    <n v="153"/>
    <n v="599"/>
    <n v="64906"/>
    <n v="9.2287307798970819E-3"/>
    <n v="2.09"/>
    <n v="12148"/>
  </r>
  <r>
    <d v="2024-09-30T00:00:00"/>
    <x v="17"/>
    <x v="3"/>
    <n v="1918"/>
    <n v="212"/>
    <n v="1706"/>
    <n v="94360"/>
    <n v="1.8079694785926241E-2"/>
    <n v="7.36"/>
    <n v="36851"/>
  </r>
  <r>
    <d v="2024-10-07T00:00:00"/>
    <x v="18"/>
    <x v="0"/>
    <n v="1939"/>
    <n v="67"/>
    <n v="1872"/>
    <n v="187183"/>
    <n v="1.0000908202133741E-2"/>
    <n v="6.25"/>
    <n v="41215"/>
  </r>
  <r>
    <d v="2024-10-07T00:00:00"/>
    <x v="18"/>
    <x v="1"/>
    <n v="1929"/>
    <n v="267"/>
    <n v="1662"/>
    <n v="379363"/>
    <n v="4.3810281972675247E-3"/>
    <n v="1.75"/>
    <n v="43836"/>
  </r>
  <r>
    <d v="2024-10-07T00:00:00"/>
    <x v="18"/>
    <x v="2"/>
    <n v="437"/>
    <n v="330"/>
    <n v="107"/>
    <n v="476486"/>
    <n v="2.2456063766826309E-4"/>
    <n v="4.97"/>
    <n v="4509"/>
  </r>
  <r>
    <d v="2024-10-07T00:00:00"/>
    <x v="18"/>
    <x v="3"/>
    <n v="307"/>
    <n v="189"/>
    <n v="118"/>
    <n v="117767"/>
    <n v="1.0019784829366461E-3"/>
    <n v="9.3000000000000007"/>
    <n v="27822"/>
  </r>
  <r>
    <d v="2024-10-14T00:00:00"/>
    <x v="19"/>
    <x v="0"/>
    <n v="1527"/>
    <n v="303"/>
    <n v="1224"/>
    <n v="388555"/>
    <n v="3.1501331857780751E-3"/>
    <n v="8.9"/>
    <n v="36397"/>
  </r>
  <r>
    <d v="2024-10-14T00:00:00"/>
    <x v="19"/>
    <x v="1"/>
    <n v="643"/>
    <n v="358"/>
    <n v="285"/>
    <n v="157599"/>
    <n v="1.8083871090552605E-3"/>
    <n v="3.88"/>
    <n v="7285"/>
  </r>
  <r>
    <d v="2024-10-14T00:00:00"/>
    <x v="19"/>
    <x v="2"/>
    <n v="201"/>
    <n v="221"/>
    <n v="-20"/>
    <n v="309772"/>
    <n v="-6.456361452939582E-5"/>
    <n v="5.9"/>
    <n v="33174"/>
  </r>
  <r>
    <d v="2024-10-14T00:00:00"/>
    <x v="19"/>
    <x v="3"/>
    <n v="414"/>
    <n v="47"/>
    <n v="367"/>
    <n v="199178"/>
    <n v="1.8425729749269497E-3"/>
    <n v="1.53"/>
    <n v="6742"/>
  </r>
  <r>
    <d v="2024-10-21T00:00:00"/>
    <x v="20"/>
    <x v="0"/>
    <n v="703"/>
    <n v="441"/>
    <n v="262"/>
    <n v="357089"/>
    <n v="7.3371064356504961E-4"/>
    <n v="6.5"/>
    <n v="32478"/>
  </r>
  <r>
    <d v="2024-10-21T00:00:00"/>
    <x v="20"/>
    <x v="1"/>
    <n v="508"/>
    <n v="69"/>
    <n v="439"/>
    <n v="23492"/>
    <n v="1.8687212668142345E-2"/>
    <n v="3.16"/>
    <n v="42824"/>
  </r>
  <r>
    <d v="2024-10-21T00:00:00"/>
    <x v="20"/>
    <x v="2"/>
    <n v="697"/>
    <n v="61"/>
    <n v="636"/>
    <n v="258287"/>
    <n v="2.4623771231227277E-3"/>
    <n v="8.25"/>
    <n v="21208"/>
  </r>
  <r>
    <d v="2024-10-21T00:00:00"/>
    <x v="20"/>
    <x v="3"/>
    <n v="1707"/>
    <n v="223"/>
    <n v="1484"/>
    <n v="256910"/>
    <n v="5.7763419096181542E-3"/>
    <n v="5.41"/>
    <n v="44321"/>
  </r>
  <r>
    <d v="2024-10-28T00:00:00"/>
    <x v="21"/>
    <x v="0"/>
    <n v="642"/>
    <n v="66"/>
    <n v="576"/>
    <n v="346522"/>
    <n v="1.6622321237901201E-3"/>
    <n v="5.85"/>
    <n v="13116"/>
  </r>
  <r>
    <d v="2024-10-28T00:00:00"/>
    <x v="21"/>
    <x v="1"/>
    <n v="859"/>
    <n v="473"/>
    <n v="386"/>
    <n v="209987"/>
    <n v="1.8382090319876945E-3"/>
    <n v="4.46"/>
    <n v="30214"/>
  </r>
  <r>
    <d v="2024-10-28T00:00:00"/>
    <x v="21"/>
    <x v="2"/>
    <n v="191"/>
    <n v="154"/>
    <n v="37"/>
    <n v="240550"/>
    <n v="1.5381417584701726E-4"/>
    <n v="5.22"/>
    <n v="15827"/>
  </r>
  <r>
    <d v="2024-10-28T00:00:00"/>
    <x v="21"/>
    <x v="3"/>
    <n v="1814"/>
    <n v="157"/>
    <n v="1657"/>
    <n v="305827"/>
    <n v="5.4180958515762179E-3"/>
    <n v="1.99"/>
    <n v="46643"/>
  </r>
  <r>
    <d v="2024-11-04T00:00:00"/>
    <x v="22"/>
    <x v="0"/>
    <n v="1466"/>
    <n v="69"/>
    <n v="1397"/>
    <n v="54935"/>
    <n v="2.5430053699827069E-2"/>
    <n v="6.85"/>
    <n v="36484"/>
  </r>
  <r>
    <d v="2024-11-04T00:00:00"/>
    <x v="22"/>
    <x v="1"/>
    <n v="947"/>
    <n v="407"/>
    <n v="540"/>
    <n v="319186"/>
    <n v="1.6918035252172713E-3"/>
    <n v="3.32"/>
    <n v="4996"/>
  </r>
  <r>
    <d v="2024-11-04T00:00:00"/>
    <x v="22"/>
    <x v="2"/>
    <n v="1821"/>
    <n v="218"/>
    <n v="1603"/>
    <n v="439080"/>
    <n v="3.6508153411678964E-3"/>
    <n v="5.68"/>
    <n v="36095"/>
  </r>
  <r>
    <d v="2024-11-04T00:00:00"/>
    <x v="22"/>
    <x v="3"/>
    <n v="1507"/>
    <n v="463"/>
    <n v="1044"/>
    <n v="258944"/>
    <n v="4.0317597627286209E-3"/>
    <n v="6.08"/>
    <n v="16443"/>
  </r>
  <r>
    <d v="2024-11-11T00:00:00"/>
    <x v="23"/>
    <x v="0"/>
    <n v="1075"/>
    <n v="173"/>
    <n v="902"/>
    <n v="51395"/>
    <n v="1.7550345364335054E-2"/>
    <n v="4.66"/>
    <n v="47812"/>
  </r>
  <r>
    <d v="2024-11-11T00:00:00"/>
    <x v="23"/>
    <x v="1"/>
    <n v="171"/>
    <n v="277"/>
    <n v="-106"/>
    <n v="309483"/>
    <n v="-3.4250669665215861E-4"/>
    <n v="8.6999999999999993"/>
    <n v="38452"/>
  </r>
  <r>
    <d v="2024-11-11T00:00:00"/>
    <x v="23"/>
    <x v="2"/>
    <n v="1487"/>
    <n v="337"/>
    <n v="1150"/>
    <n v="87305"/>
    <n v="1.3172212358971423E-2"/>
    <n v="2.46"/>
    <n v="30428"/>
  </r>
  <r>
    <d v="2024-11-11T00:00:00"/>
    <x v="23"/>
    <x v="3"/>
    <n v="454"/>
    <n v="105"/>
    <n v="349"/>
    <n v="121091"/>
    <n v="2.8821299683708945E-3"/>
    <n v="7.97"/>
    <n v="9269"/>
  </r>
  <r>
    <d v="2024-11-18T00:00:00"/>
    <x v="24"/>
    <x v="0"/>
    <n v="187"/>
    <n v="236"/>
    <n v="-49"/>
    <n v="51087"/>
    <n v="-9.5914811987394058E-4"/>
    <n v="9.41"/>
    <n v="29533"/>
  </r>
  <r>
    <d v="2024-11-18T00:00:00"/>
    <x v="24"/>
    <x v="1"/>
    <n v="513"/>
    <n v="441"/>
    <n v="72"/>
    <n v="338847"/>
    <n v="2.1248528096751631E-4"/>
    <n v="2.68"/>
    <n v="39997"/>
  </r>
  <r>
    <d v="2024-11-18T00:00:00"/>
    <x v="24"/>
    <x v="2"/>
    <n v="628"/>
    <n v="183"/>
    <n v="445"/>
    <n v="487523"/>
    <n v="9.1277744844858602E-4"/>
    <n v="7.32"/>
    <n v="5391"/>
  </r>
  <r>
    <d v="2024-11-18T00:00:00"/>
    <x v="24"/>
    <x v="3"/>
    <n v="278"/>
    <n v="218"/>
    <n v="60"/>
    <n v="301695"/>
    <n v="1.9887634863023914E-4"/>
    <n v="4.68"/>
    <n v="22373"/>
  </r>
  <r>
    <d v="2024-11-25T00:00:00"/>
    <x v="25"/>
    <x v="0"/>
    <n v="1854"/>
    <n v="161"/>
    <n v="1693"/>
    <n v="282466"/>
    <n v="5.9936417126309005E-3"/>
    <n v="5.17"/>
    <n v="1810"/>
  </r>
  <r>
    <d v="2024-11-25T00:00:00"/>
    <x v="25"/>
    <x v="1"/>
    <n v="1710"/>
    <n v="378"/>
    <n v="1332"/>
    <n v="336661"/>
    <n v="3.9565022381564839E-3"/>
    <n v="6.2"/>
    <n v="28498"/>
  </r>
  <r>
    <d v="2024-11-25T00:00:00"/>
    <x v="25"/>
    <x v="2"/>
    <n v="330"/>
    <n v="232"/>
    <n v="98"/>
    <n v="88455"/>
    <n v="1.1079079758069075E-3"/>
    <n v="2.69"/>
    <n v="39530"/>
  </r>
  <r>
    <d v="2024-11-25T00:00:00"/>
    <x v="25"/>
    <x v="3"/>
    <n v="1293"/>
    <n v="408"/>
    <n v="885"/>
    <n v="62535"/>
    <n v="1.4152074838090669E-2"/>
    <n v="8.9"/>
    <n v="37876"/>
  </r>
  <r>
    <d v="2024-12-02T00:00:00"/>
    <x v="26"/>
    <x v="0"/>
    <n v="1696"/>
    <n v="71"/>
    <n v="1625"/>
    <n v="421957"/>
    <n v="3.8511033114748661E-3"/>
    <n v="3.79"/>
    <n v="36103"/>
  </r>
  <r>
    <d v="2024-12-02T00:00:00"/>
    <x v="26"/>
    <x v="1"/>
    <n v="1902"/>
    <n v="196"/>
    <n v="1706"/>
    <n v="470269"/>
    <n v="3.6277109484146308E-3"/>
    <n v="4.79"/>
    <n v="26103"/>
  </r>
  <r>
    <d v="2024-12-02T00:00:00"/>
    <x v="26"/>
    <x v="2"/>
    <n v="1441"/>
    <n v="268"/>
    <n v="1173"/>
    <n v="309904"/>
    <n v="3.7850431101244257E-3"/>
    <n v="6.37"/>
    <n v="3455"/>
  </r>
  <r>
    <d v="2024-12-02T00:00:00"/>
    <x v="26"/>
    <x v="3"/>
    <n v="452"/>
    <n v="161"/>
    <n v="291"/>
    <n v="221274"/>
    <n v="1.3151115811166245E-3"/>
    <n v="2.65"/>
    <n v="40888"/>
  </r>
  <r>
    <d v="2024-12-09T00:00:00"/>
    <x v="27"/>
    <x v="0"/>
    <n v="1494"/>
    <n v="375"/>
    <n v="1119"/>
    <n v="220616"/>
    <n v="5.0721615839286359E-3"/>
    <n v="1.81"/>
    <n v="22724"/>
  </r>
  <r>
    <d v="2024-12-09T00:00:00"/>
    <x v="27"/>
    <x v="1"/>
    <n v="1514"/>
    <n v="141"/>
    <n v="1373"/>
    <n v="35842"/>
    <n v="3.8307014117515761E-2"/>
    <n v="7.47"/>
    <n v="18601"/>
  </r>
  <r>
    <d v="2024-12-09T00:00:00"/>
    <x v="27"/>
    <x v="2"/>
    <n v="1937"/>
    <n v="210"/>
    <n v="1727"/>
    <n v="20607"/>
    <n v="8.3806473528412681E-2"/>
    <n v="4.2"/>
    <n v="20861"/>
  </r>
  <r>
    <d v="2024-12-09T00:00:00"/>
    <x v="27"/>
    <x v="3"/>
    <n v="736"/>
    <n v="163"/>
    <n v="573"/>
    <n v="451894"/>
    <n v="1.2679964770499277E-3"/>
    <n v="5.43"/>
    <n v="46625"/>
  </r>
  <r>
    <d v="2024-12-16T00:00:00"/>
    <x v="28"/>
    <x v="0"/>
    <n v="1502"/>
    <n v="70"/>
    <n v="1432"/>
    <n v="465553"/>
    <n v="3.0759118725472716E-3"/>
    <n v="3.32"/>
    <n v="20692"/>
  </r>
  <r>
    <d v="2024-12-16T00:00:00"/>
    <x v="28"/>
    <x v="1"/>
    <n v="1623"/>
    <n v="246"/>
    <n v="1377"/>
    <n v="415815"/>
    <n v="3.311568846722701E-3"/>
    <n v="8.11"/>
    <n v="18656"/>
  </r>
  <r>
    <d v="2024-12-16T00:00:00"/>
    <x v="28"/>
    <x v="2"/>
    <n v="1592"/>
    <n v="233"/>
    <n v="1359"/>
    <n v="327183"/>
    <n v="4.1536387893013997E-3"/>
    <n v="6.66"/>
    <n v="13316"/>
  </r>
  <r>
    <d v="2024-12-16T00:00:00"/>
    <x v="28"/>
    <x v="3"/>
    <n v="1004"/>
    <n v="128"/>
    <n v="876"/>
    <n v="488901"/>
    <n v="1.7917737946946315E-3"/>
    <n v="8.09"/>
    <n v="49558"/>
  </r>
  <r>
    <d v="2024-12-23T00:00:00"/>
    <x v="29"/>
    <x v="0"/>
    <n v="1092"/>
    <n v="408"/>
    <n v="684"/>
    <n v="280795"/>
    <n v="2.4359408109118751E-3"/>
    <n v="8.44"/>
    <n v="4683"/>
  </r>
  <r>
    <d v="2024-12-23T00:00:00"/>
    <x v="29"/>
    <x v="1"/>
    <n v="1155"/>
    <n v="425"/>
    <n v="730"/>
    <n v="93347"/>
    <n v="7.8202834584935772E-3"/>
    <n v="2.02"/>
    <n v="47502"/>
  </r>
  <r>
    <d v="2024-12-23T00:00:00"/>
    <x v="29"/>
    <x v="2"/>
    <n v="1137"/>
    <n v="226"/>
    <n v="911"/>
    <n v="81119"/>
    <n v="1.1230414576116569E-2"/>
    <n v="7.74"/>
    <n v="35359"/>
  </r>
  <r>
    <d v="2024-12-23T00:00:00"/>
    <x v="29"/>
    <x v="3"/>
    <n v="1900"/>
    <n v="311"/>
    <n v="1589"/>
    <n v="25177"/>
    <n v="6.3113158835445049E-2"/>
    <n v="2.89"/>
    <n v="14154"/>
  </r>
  <r>
    <d v="2024-12-30T00:00:00"/>
    <x v="30"/>
    <x v="0"/>
    <n v="1814"/>
    <n v="49"/>
    <n v="1765"/>
    <n v="140804"/>
    <n v="1.253515525127127E-2"/>
    <n v="1.76"/>
    <n v="4313"/>
  </r>
  <r>
    <d v="2024-12-30T00:00:00"/>
    <x v="30"/>
    <x v="1"/>
    <n v="1980"/>
    <n v="204"/>
    <n v="1776"/>
    <n v="379431"/>
    <n v="4.6806929323118035E-3"/>
    <n v="3.09"/>
    <n v="25140"/>
  </r>
  <r>
    <d v="2024-12-30T00:00:00"/>
    <x v="30"/>
    <x v="2"/>
    <n v="1786"/>
    <n v="257"/>
    <n v="1529"/>
    <n v="274831"/>
    <n v="5.5634189738421064E-3"/>
    <n v="4.68"/>
    <n v="9118"/>
  </r>
  <r>
    <d v="2024-12-30T00:00:00"/>
    <x v="30"/>
    <x v="3"/>
    <n v="1495"/>
    <n v="35"/>
    <n v="1460"/>
    <n v="136845"/>
    <n v="1.0669005078738719E-2"/>
    <n v="4.4800000000000004"/>
    <n v="39931"/>
  </r>
  <r>
    <d v="2025-01-06T00:00:00"/>
    <x v="31"/>
    <x v="0"/>
    <n v="1013"/>
    <n v="110"/>
    <n v="903"/>
    <n v="466382"/>
    <n v="1.9361810704529763E-3"/>
    <n v="5.3"/>
    <n v="37132"/>
  </r>
  <r>
    <d v="2025-01-06T00:00:00"/>
    <x v="31"/>
    <x v="1"/>
    <n v="816"/>
    <n v="196"/>
    <n v="620"/>
    <n v="95728"/>
    <n v="6.4766839378238338E-3"/>
    <n v="8.1999999999999993"/>
    <n v="17951"/>
  </r>
  <r>
    <d v="2025-01-06T00:00:00"/>
    <x v="31"/>
    <x v="2"/>
    <n v="1633"/>
    <n v="445"/>
    <n v="1188"/>
    <n v="371156"/>
    <n v="3.2008104408927781E-3"/>
    <n v="2.2200000000000002"/>
    <n v="2798"/>
  </r>
  <r>
    <d v="2025-01-06T00:00:00"/>
    <x v="31"/>
    <x v="3"/>
    <n v="891"/>
    <n v="45"/>
    <n v="846"/>
    <n v="95410"/>
    <n v="8.8669950738916262E-3"/>
    <n v="8.33"/>
    <n v="15045"/>
  </r>
  <r>
    <d v="2025-01-13T00:00:00"/>
    <x v="32"/>
    <x v="0"/>
    <n v="1855"/>
    <n v="133"/>
    <n v="1722"/>
    <n v="349413"/>
    <n v="4.9282654051223049E-3"/>
    <n v="3.3"/>
    <n v="14548"/>
  </r>
  <r>
    <d v="2025-01-13T00:00:00"/>
    <x v="32"/>
    <x v="1"/>
    <n v="651"/>
    <n v="353"/>
    <n v="298"/>
    <n v="224699"/>
    <n v="1.3262186302564765E-3"/>
    <n v="5.61"/>
    <n v="45708"/>
  </r>
  <r>
    <d v="2025-01-13T00:00:00"/>
    <x v="32"/>
    <x v="2"/>
    <n v="118"/>
    <n v="262"/>
    <n v="-144"/>
    <n v="487896"/>
    <n v="-2.9514486693885583E-4"/>
    <n v="2.56"/>
    <n v="12350"/>
  </r>
  <r>
    <d v="2025-01-13T00:00:00"/>
    <x v="32"/>
    <x v="3"/>
    <n v="1331"/>
    <n v="430"/>
    <n v="901"/>
    <n v="14437"/>
    <n v="6.2409087760615087E-2"/>
    <n v="3.29"/>
    <n v="40868"/>
  </r>
  <r>
    <d v="2025-01-20T00:00:00"/>
    <x v="33"/>
    <x v="0"/>
    <n v="1748"/>
    <n v="176"/>
    <n v="1572"/>
    <n v="383681"/>
    <n v="4.0971536250166149E-3"/>
    <n v="9.24"/>
    <n v="43122"/>
  </r>
  <r>
    <d v="2025-01-20T00:00:00"/>
    <x v="33"/>
    <x v="1"/>
    <n v="663"/>
    <n v="236"/>
    <n v="427"/>
    <n v="479490"/>
    <n v="8.9052952094934197E-4"/>
    <n v="4.51"/>
    <n v="23853"/>
  </r>
  <r>
    <d v="2025-01-20T00:00:00"/>
    <x v="33"/>
    <x v="2"/>
    <n v="1040"/>
    <n v="149"/>
    <n v="891"/>
    <n v="124404"/>
    <n v="7.1621491270377159E-3"/>
    <n v="5.23"/>
    <n v="45380"/>
  </r>
  <r>
    <d v="2025-01-20T00:00:00"/>
    <x v="33"/>
    <x v="3"/>
    <n v="1166"/>
    <n v="442"/>
    <n v="724"/>
    <n v="336949"/>
    <n v="2.1486931256659019E-3"/>
    <n v="4.68"/>
    <n v="7705"/>
  </r>
  <r>
    <d v="2025-01-27T00:00:00"/>
    <x v="34"/>
    <x v="0"/>
    <n v="115"/>
    <n v="281"/>
    <n v="-166"/>
    <n v="357265"/>
    <n v="-4.6464109274628077E-4"/>
    <n v="9.23"/>
    <n v="25525"/>
  </r>
  <r>
    <d v="2025-01-27T00:00:00"/>
    <x v="34"/>
    <x v="1"/>
    <n v="1249"/>
    <n v="351"/>
    <n v="898"/>
    <n v="321307"/>
    <n v="2.7948348464241365E-3"/>
    <n v="6.37"/>
    <n v="20560"/>
  </r>
  <r>
    <d v="2025-01-27T00:00:00"/>
    <x v="34"/>
    <x v="2"/>
    <n v="1501"/>
    <n v="75"/>
    <n v="1426"/>
    <n v="262569"/>
    <n v="5.4309533874905263E-3"/>
    <n v="2.0099999999999998"/>
    <n v="19119"/>
  </r>
  <r>
    <d v="2025-01-27T00:00:00"/>
    <x v="34"/>
    <x v="3"/>
    <n v="1411"/>
    <n v="186"/>
    <n v="1225"/>
    <n v="461669"/>
    <n v="2.6534161921203288E-3"/>
    <n v="3.72"/>
    <n v="43999"/>
  </r>
  <r>
    <d v="2025-02-03T00:00:00"/>
    <x v="35"/>
    <x v="0"/>
    <n v="1556"/>
    <n v="476"/>
    <n v="1080"/>
    <n v="351556"/>
    <n v="3.0720567989168156E-3"/>
    <n v="3.89"/>
    <n v="10825"/>
  </r>
  <r>
    <d v="2025-02-03T00:00:00"/>
    <x v="35"/>
    <x v="1"/>
    <n v="1159"/>
    <n v="411"/>
    <n v="748"/>
    <n v="135987"/>
    <n v="5.5005257855530306E-3"/>
    <n v="8.6999999999999993"/>
    <n v="40323"/>
  </r>
  <r>
    <d v="2025-02-03T00:00:00"/>
    <x v="35"/>
    <x v="2"/>
    <n v="927"/>
    <n v="358"/>
    <n v="569"/>
    <n v="177554"/>
    <n v="3.2046588643454949E-3"/>
    <n v="6.95"/>
    <n v="48270"/>
  </r>
  <r>
    <d v="2025-02-03T00:00:00"/>
    <x v="35"/>
    <x v="3"/>
    <n v="152"/>
    <n v="355"/>
    <n v="-203"/>
    <n v="270766"/>
    <n v="-7.4972485467156139E-4"/>
    <n v="9.48"/>
    <n v="18001"/>
  </r>
  <r>
    <d v="2025-02-10T00:00:00"/>
    <x v="36"/>
    <x v="0"/>
    <n v="1957"/>
    <n v="234"/>
    <n v="1723"/>
    <n v="222126"/>
    <n v="7.7568587198256845E-3"/>
    <n v="4.6100000000000003"/>
    <n v="3314"/>
  </r>
  <r>
    <d v="2025-02-10T00:00:00"/>
    <x v="36"/>
    <x v="1"/>
    <n v="1294"/>
    <n v="382"/>
    <n v="912"/>
    <n v="309914"/>
    <n v="2.9427518601934728E-3"/>
    <n v="8.0299999999999994"/>
    <n v="23489"/>
  </r>
  <r>
    <d v="2025-02-10T00:00:00"/>
    <x v="36"/>
    <x v="2"/>
    <n v="1587"/>
    <n v="385"/>
    <n v="1202"/>
    <n v="126582"/>
    <n v="9.4958208908059605E-3"/>
    <n v="6.99"/>
    <n v="42832"/>
  </r>
  <r>
    <d v="2025-02-10T00:00:00"/>
    <x v="36"/>
    <x v="3"/>
    <n v="1707"/>
    <n v="263"/>
    <n v="1444"/>
    <n v="485280"/>
    <n v="2.9756017144741179E-3"/>
    <n v="9.0299999999999994"/>
    <n v="24494"/>
  </r>
  <r>
    <d v="2025-02-17T00:00:00"/>
    <x v="37"/>
    <x v="0"/>
    <n v="1138"/>
    <n v="173"/>
    <n v="965"/>
    <n v="453243"/>
    <n v="2.1291007252180398E-3"/>
    <n v="2.86"/>
    <n v="44097"/>
  </r>
  <r>
    <d v="2025-02-17T00:00:00"/>
    <x v="37"/>
    <x v="1"/>
    <n v="1895"/>
    <n v="305"/>
    <n v="1590"/>
    <n v="104967"/>
    <n v="1.5147617822744291E-2"/>
    <n v="3.85"/>
    <n v="31853"/>
  </r>
  <r>
    <d v="2025-02-17T00:00:00"/>
    <x v="37"/>
    <x v="2"/>
    <n v="362"/>
    <n v="399"/>
    <n v="-37"/>
    <n v="145608"/>
    <n v="-2.5410691720235154E-4"/>
    <n v="7.3"/>
    <n v="37636"/>
  </r>
  <r>
    <d v="2025-02-17T00:00:00"/>
    <x v="37"/>
    <x v="3"/>
    <n v="1662"/>
    <n v="487"/>
    <n v="1175"/>
    <n v="105980"/>
    <n v="1.1086997546706926E-2"/>
    <n v="9.08"/>
    <n v="22996"/>
  </r>
  <r>
    <d v="2025-02-24T00:00:00"/>
    <x v="38"/>
    <x v="0"/>
    <n v="1440"/>
    <n v="65"/>
    <n v="1375"/>
    <n v="126524"/>
    <n v="1.0867503398564699E-2"/>
    <n v="4.34"/>
    <n v="49772"/>
  </r>
  <r>
    <d v="2025-02-24T00:00:00"/>
    <x v="38"/>
    <x v="1"/>
    <n v="1884"/>
    <n v="177"/>
    <n v="1707"/>
    <n v="230448"/>
    <n v="7.4073109768798169E-3"/>
    <n v="7.8"/>
    <n v="22713"/>
  </r>
  <r>
    <d v="2025-02-24T00:00:00"/>
    <x v="38"/>
    <x v="2"/>
    <n v="861"/>
    <n v="153"/>
    <n v="708"/>
    <n v="317007"/>
    <n v="2.2333891680625349E-3"/>
    <n v="3.85"/>
    <n v="8718"/>
  </r>
  <r>
    <d v="2025-02-24T00:00:00"/>
    <x v="38"/>
    <x v="3"/>
    <n v="1063"/>
    <n v="47"/>
    <n v="1016"/>
    <n v="464239"/>
    <n v="2.1885278918832756E-3"/>
    <n v="6.58"/>
    <n v="39031"/>
  </r>
  <r>
    <d v="2025-03-03T00:00:00"/>
    <x v="39"/>
    <x v="0"/>
    <n v="1371"/>
    <n v="56"/>
    <n v="1315"/>
    <n v="257579"/>
    <n v="5.1052298518124532E-3"/>
    <n v="8.6199999999999992"/>
    <n v="33799"/>
  </r>
  <r>
    <d v="2025-03-03T00:00:00"/>
    <x v="39"/>
    <x v="1"/>
    <n v="345"/>
    <n v="464"/>
    <n v="-119"/>
    <n v="366881"/>
    <n v="-3.2435585380545735E-4"/>
    <n v="4.55"/>
    <n v="20553"/>
  </r>
  <r>
    <d v="2025-03-03T00:00:00"/>
    <x v="39"/>
    <x v="2"/>
    <n v="946"/>
    <n v="47"/>
    <n v="899"/>
    <n v="466575"/>
    <n v="1.9268070513850934E-3"/>
    <n v="8.33"/>
    <n v="10002"/>
  </r>
  <r>
    <d v="2025-03-03T00:00:00"/>
    <x v="39"/>
    <x v="3"/>
    <n v="510"/>
    <n v="195"/>
    <n v="315"/>
    <n v="224534"/>
    <n v="1.4029055733207443E-3"/>
    <n v="9.4"/>
    <n v="30987"/>
  </r>
  <r>
    <d v="2025-03-10T00:00:00"/>
    <x v="40"/>
    <x v="0"/>
    <n v="393"/>
    <n v="181"/>
    <n v="212"/>
    <n v="462142"/>
    <n v="4.5873346287504706E-4"/>
    <n v="7.23"/>
    <n v="6296"/>
  </r>
  <r>
    <d v="2025-03-10T00:00:00"/>
    <x v="40"/>
    <x v="1"/>
    <n v="1098"/>
    <n v="190"/>
    <n v="908"/>
    <n v="340842"/>
    <n v="2.6639909400836752E-3"/>
    <n v="9.39"/>
    <n v="21539"/>
  </r>
  <r>
    <d v="2025-03-10T00:00:00"/>
    <x v="40"/>
    <x v="2"/>
    <n v="1399"/>
    <n v="49"/>
    <n v="1350"/>
    <n v="12471"/>
    <n v="0.10825114265095021"/>
    <n v="5.12"/>
    <n v="14722"/>
  </r>
  <r>
    <d v="2025-03-10T00:00:00"/>
    <x v="40"/>
    <x v="3"/>
    <n v="1658"/>
    <n v="416"/>
    <n v="1242"/>
    <n v="98397"/>
    <n v="1.2622336046830695E-2"/>
    <n v="6.11"/>
    <n v="11383"/>
  </r>
  <r>
    <d v="2025-03-17T00:00:00"/>
    <x v="41"/>
    <x v="0"/>
    <n v="1102"/>
    <n v="422"/>
    <n v="680"/>
    <n v="410330"/>
    <n v="1.6572027392586454E-3"/>
    <n v="7.74"/>
    <n v="9480"/>
  </r>
  <r>
    <d v="2025-03-17T00:00:00"/>
    <x v="41"/>
    <x v="1"/>
    <n v="1358"/>
    <n v="242"/>
    <n v="1116"/>
    <n v="342129"/>
    <n v="3.2619275185675578E-3"/>
    <n v="4.9400000000000004"/>
    <n v="29116"/>
  </r>
  <r>
    <d v="2025-03-17T00:00:00"/>
    <x v="41"/>
    <x v="2"/>
    <n v="1077"/>
    <n v="216"/>
    <n v="861"/>
    <n v="12447"/>
    <n v="6.9173294769824048E-2"/>
    <n v="1.8"/>
    <n v="14068"/>
  </r>
  <r>
    <d v="2025-03-17T00:00:00"/>
    <x v="41"/>
    <x v="3"/>
    <n v="1596"/>
    <n v="211"/>
    <n v="1385"/>
    <n v="17380"/>
    <n v="7.9689298043728429E-2"/>
    <n v="8.64"/>
    <n v="35801"/>
  </r>
  <r>
    <d v="2025-03-24T00:00:00"/>
    <x v="42"/>
    <x v="0"/>
    <n v="490"/>
    <n v="29"/>
    <n v="461"/>
    <n v="364810"/>
    <n v="1.2636715002329981E-3"/>
    <n v="1.53"/>
    <n v="49077"/>
  </r>
  <r>
    <d v="2025-03-24T00:00:00"/>
    <x v="42"/>
    <x v="1"/>
    <n v="609"/>
    <n v="135"/>
    <n v="474"/>
    <n v="373606"/>
    <n v="1.268716241173857E-3"/>
    <n v="8.52"/>
    <n v="21453"/>
  </r>
  <r>
    <d v="2025-03-24T00:00:00"/>
    <x v="42"/>
    <x v="2"/>
    <n v="364"/>
    <n v="72"/>
    <n v="292"/>
    <n v="211090"/>
    <n v="1.3832962243592781E-3"/>
    <n v="5.53"/>
    <n v="21061"/>
  </r>
  <r>
    <d v="2025-03-24T00:00:00"/>
    <x v="42"/>
    <x v="3"/>
    <n v="442"/>
    <n v="53"/>
    <n v="389"/>
    <n v="441931"/>
    <n v="8.8022790888170322E-4"/>
    <n v="1.87"/>
    <n v="20059"/>
  </r>
  <r>
    <d v="2025-03-31T00:00:00"/>
    <x v="43"/>
    <x v="0"/>
    <n v="1033"/>
    <n v="392"/>
    <n v="641"/>
    <n v="282780"/>
    <n v="2.2667798288422093E-3"/>
    <n v="6.27"/>
    <n v="23140"/>
  </r>
  <r>
    <d v="2025-03-31T00:00:00"/>
    <x v="43"/>
    <x v="1"/>
    <n v="988"/>
    <n v="474"/>
    <n v="514"/>
    <n v="370070"/>
    <n v="1.3889264193260734E-3"/>
    <n v="9.4600000000000009"/>
    <n v="23461"/>
  </r>
  <r>
    <d v="2025-03-31T00:00:00"/>
    <x v="43"/>
    <x v="2"/>
    <n v="1946"/>
    <n v="270"/>
    <n v="1676"/>
    <n v="198350"/>
    <n v="8.4497101083942528E-3"/>
    <n v="7.5"/>
    <n v="11805"/>
  </r>
  <r>
    <d v="2025-03-31T00:00:00"/>
    <x v="43"/>
    <x v="3"/>
    <n v="1957"/>
    <n v="490"/>
    <n v="1467"/>
    <n v="435726"/>
    <n v="3.3667947287974553E-3"/>
    <n v="4.7300000000000004"/>
    <n v="15969"/>
  </r>
  <r>
    <d v="2025-04-07T00:00:00"/>
    <x v="44"/>
    <x v="0"/>
    <n v="559"/>
    <n v="392"/>
    <n v="167"/>
    <n v="78789"/>
    <n v="2.1195852212872357E-3"/>
    <n v="3.19"/>
    <n v="2436"/>
  </r>
  <r>
    <d v="2025-04-07T00:00:00"/>
    <x v="44"/>
    <x v="1"/>
    <n v="1307"/>
    <n v="278"/>
    <n v="1029"/>
    <n v="98596"/>
    <n v="1.0436528865268368E-2"/>
    <n v="2.4900000000000002"/>
    <n v="47603"/>
  </r>
  <r>
    <d v="2025-04-07T00:00:00"/>
    <x v="44"/>
    <x v="2"/>
    <n v="1432"/>
    <n v="425"/>
    <n v="1007"/>
    <n v="29589"/>
    <n v="3.4032917638311531E-2"/>
    <n v="4.5"/>
    <n v="42964"/>
  </r>
  <r>
    <d v="2025-04-07T00:00:00"/>
    <x v="44"/>
    <x v="3"/>
    <n v="623"/>
    <n v="414"/>
    <n v="209"/>
    <n v="290354"/>
    <n v="7.1981098934404211E-4"/>
    <n v="6.49"/>
    <n v="39923"/>
  </r>
  <r>
    <d v="2025-04-14T00:00:00"/>
    <x v="45"/>
    <x v="0"/>
    <n v="198"/>
    <n v="358"/>
    <n v="-160"/>
    <n v="66682"/>
    <n v="-2.3994481269308059E-3"/>
    <n v="6.73"/>
    <n v="2293"/>
  </r>
  <r>
    <d v="2025-04-14T00:00:00"/>
    <x v="45"/>
    <x v="1"/>
    <n v="198"/>
    <n v="373"/>
    <n v="-175"/>
    <n v="70707"/>
    <n v="-2.4750024750024749E-3"/>
    <n v="4.83"/>
    <n v="25920"/>
  </r>
  <r>
    <d v="2025-04-14T00:00:00"/>
    <x v="45"/>
    <x v="2"/>
    <n v="353"/>
    <n v="300"/>
    <n v="53"/>
    <n v="142507"/>
    <n v="3.7191155522184875E-4"/>
    <n v="5.3"/>
    <n v="11035"/>
  </r>
  <r>
    <d v="2025-04-14T00:00:00"/>
    <x v="45"/>
    <x v="3"/>
    <n v="520"/>
    <n v="375"/>
    <n v="145"/>
    <n v="369525"/>
    <n v="3.9239564305527366E-4"/>
    <n v="6.54"/>
    <n v="20733"/>
  </r>
  <r>
    <d v="2025-04-21T00:00:00"/>
    <x v="46"/>
    <x v="0"/>
    <n v="961"/>
    <n v="358"/>
    <n v="603"/>
    <n v="62942"/>
    <n v="9.5802484827301332E-3"/>
    <n v="6.8"/>
    <n v="18693"/>
  </r>
  <r>
    <d v="2025-04-21T00:00:00"/>
    <x v="46"/>
    <x v="1"/>
    <n v="1375"/>
    <n v="330"/>
    <n v="1045"/>
    <n v="377382"/>
    <n v="2.7690774864725927E-3"/>
    <n v="2.6"/>
    <n v="7875"/>
  </r>
  <r>
    <d v="2025-04-21T00:00:00"/>
    <x v="46"/>
    <x v="2"/>
    <n v="1147"/>
    <n v="388"/>
    <n v="759"/>
    <n v="333851"/>
    <n v="2.2734693021737242E-3"/>
    <n v="2.44"/>
    <n v="8471"/>
  </r>
  <r>
    <d v="2025-04-21T00:00:00"/>
    <x v="46"/>
    <x v="3"/>
    <n v="1707"/>
    <n v="74"/>
    <n v="1633"/>
    <n v="270958"/>
    <n v="6.0267642955734836E-3"/>
    <n v="3.09"/>
    <n v="14090"/>
  </r>
  <r>
    <d v="2025-04-28T00:00:00"/>
    <x v="47"/>
    <x v="0"/>
    <n v="1693"/>
    <n v="154"/>
    <n v="1539"/>
    <n v="445944"/>
    <n v="3.4511059684624078E-3"/>
    <n v="5.69"/>
    <n v="14216"/>
  </r>
  <r>
    <d v="2025-04-28T00:00:00"/>
    <x v="47"/>
    <x v="1"/>
    <n v="833"/>
    <n v="380"/>
    <n v="453"/>
    <n v="224830"/>
    <n v="2.014855668727483E-3"/>
    <n v="3.86"/>
    <n v="3582"/>
  </r>
  <r>
    <d v="2025-04-28T00:00:00"/>
    <x v="47"/>
    <x v="2"/>
    <n v="1222"/>
    <n v="274"/>
    <n v="948"/>
    <n v="487289"/>
    <n v="1.9454574184929272E-3"/>
    <n v="3.16"/>
    <n v="32500"/>
  </r>
  <r>
    <d v="2025-04-28T00:00:00"/>
    <x v="47"/>
    <x v="3"/>
    <n v="777"/>
    <n v="140"/>
    <n v="637"/>
    <n v="11435"/>
    <n v="5.5706165282028861E-2"/>
    <n v="1.6"/>
    <n v="6832"/>
  </r>
  <r>
    <d v="2025-05-05T00:00:00"/>
    <x v="48"/>
    <x v="0"/>
    <n v="1957"/>
    <n v="76"/>
    <n v="1881"/>
    <n v="447902"/>
    <n v="4.1995793722733989E-3"/>
    <n v="6.09"/>
    <n v="33381"/>
  </r>
  <r>
    <d v="2025-05-05T00:00:00"/>
    <x v="48"/>
    <x v="1"/>
    <n v="405"/>
    <n v="66"/>
    <n v="339"/>
    <n v="418696"/>
    <n v="8.0965664826031301E-4"/>
    <n v="5.59"/>
    <n v="48419"/>
  </r>
  <r>
    <d v="2025-05-05T00:00:00"/>
    <x v="48"/>
    <x v="2"/>
    <n v="1581"/>
    <n v="71"/>
    <n v="1510"/>
    <n v="484364"/>
    <n v="3.1174901520344203E-3"/>
    <n v="3.55"/>
    <n v="16149"/>
  </r>
  <r>
    <d v="2025-05-05T00:00:00"/>
    <x v="48"/>
    <x v="3"/>
    <n v="1035"/>
    <n v="171"/>
    <n v="864"/>
    <n v="148477"/>
    <n v="5.8190830903102836E-3"/>
    <n v="5.21"/>
    <n v="7541"/>
  </r>
  <r>
    <d v="2025-05-12T00:00:00"/>
    <x v="49"/>
    <x v="0"/>
    <n v="1765"/>
    <n v="109"/>
    <n v="1656"/>
    <n v="468301"/>
    <n v="3.5361871958419907E-3"/>
    <n v="1.82"/>
    <n v="20042"/>
  </r>
  <r>
    <d v="2025-05-12T00:00:00"/>
    <x v="49"/>
    <x v="1"/>
    <n v="837"/>
    <n v="430"/>
    <n v="407"/>
    <n v="364820"/>
    <n v="1.1156186612576065E-3"/>
    <n v="4"/>
    <n v="49400"/>
  </r>
  <r>
    <d v="2025-05-12T00:00:00"/>
    <x v="49"/>
    <x v="2"/>
    <n v="337"/>
    <n v="68"/>
    <n v="269"/>
    <n v="456298"/>
    <n v="5.8952701962314107E-4"/>
    <n v="7.57"/>
    <n v="4007"/>
  </r>
  <r>
    <d v="2025-05-12T00:00:00"/>
    <x v="49"/>
    <x v="3"/>
    <n v="119"/>
    <n v="456"/>
    <n v="-337"/>
    <n v="82558"/>
    <n v="-4.0819787301048958E-3"/>
    <n v="6.81"/>
    <n v="121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0CFB74-1566-487C-A90A-04FD46DEEE5B}"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8:C12" firstHeaderRow="1" firstDataRow="1" firstDataCol="1"/>
  <pivotFields count="15">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dataField="1" numFmtId="10" showAll="0"/>
    <pivotField showAll="0"/>
    <pivotField showAll="0"/>
    <pivotField showAll="0"/>
    <pivotField showAll="0"/>
  </pivotFields>
  <rowFields count="1">
    <field x="1"/>
  </rowFields>
  <rowItems count="4">
    <i>
      <x v="1"/>
    </i>
    <i>
      <x v="2"/>
    </i>
    <i>
      <x v="3"/>
    </i>
    <i>
      <x/>
    </i>
  </rowItems>
  <colItems count="1">
    <i/>
  </colItems>
  <dataFields count="1">
    <dataField name="Average of Engagement Rate" fld="10" subtotal="average" baseField="1" baseItem="0" numFmtId="164"/>
  </dataFields>
  <formats count="6">
    <format dxfId="95">
      <pivotArea outline="0" collapsedLevelsAreSubtotals="1" fieldPosition="0"/>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D5B3F-3E4A-44A4-A8C9-3C9D084F30D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1:D68" firstHeaderRow="1" firstDataRow="1" firstDataCol="1"/>
  <pivotFields count="15">
    <pivotField showAll="0"/>
    <pivotField showAll="0"/>
    <pivotField numFmtId="14" showAll="0"/>
    <pivotField showAll="0"/>
    <pivotField showAll="0"/>
    <pivotField showAll="0"/>
    <pivotField showAll="0"/>
    <pivotField showAll="0"/>
    <pivotField showAll="0"/>
    <pivotField showAll="0"/>
    <pivotField dataField="1" numFmtId="10" showAll="0"/>
    <pivotField showAll="0"/>
    <pivotField showAll="0"/>
    <pivotField axis="axisRow"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7">
    <i>
      <x v="2"/>
    </i>
    <i>
      <x v="5"/>
    </i>
    <i>
      <x v="3"/>
    </i>
    <i>
      <x/>
    </i>
    <i>
      <x v="1"/>
    </i>
    <i>
      <x v="4"/>
    </i>
    <i t="grand">
      <x/>
    </i>
  </rowItems>
  <colItems count="1">
    <i/>
  </colItems>
  <dataFields count="1">
    <dataField name="Sum of Engagement Rate" fld="10" baseField="0" baseItem="0" numFmtId="2"/>
  </dataFields>
  <formats count="7">
    <format dxfId="102">
      <pivotArea outline="0" collapsedLevelsAreSubtotals="1" fieldPosition="0"/>
    </format>
    <format dxfId="101">
      <pivotArea type="all" dataOnly="0" outline="0" fieldPosition="0"/>
    </format>
    <format dxfId="100">
      <pivotArea outline="0" collapsedLevelsAreSubtotals="1" fieldPosition="0"/>
    </format>
    <format dxfId="99">
      <pivotArea field="13" type="button" dataOnly="0" labelOnly="1" outline="0" axis="axisRow" fieldPosition="0"/>
    </format>
    <format dxfId="98">
      <pivotArea dataOnly="0" labelOnly="1" fieldPosition="0">
        <references count="1">
          <reference field="13" count="0"/>
        </references>
      </pivotArea>
    </format>
    <format dxfId="97">
      <pivotArea dataOnly="0" labelOnly="1" grandRow="1" outline="0"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03A7F-04DE-44C5-9D7F-874EF2729E5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8:D55" firstHeaderRow="1" firstDataRow="1" firstDataCol="1"/>
  <pivotFields count="15">
    <pivotField showAll="0"/>
    <pivotField showAll="0"/>
    <pivotField numFmtId="14" showAll="0"/>
    <pivotField showAll="0"/>
    <pivotField showAll="0"/>
    <pivotField showAll="0"/>
    <pivotField showAll="0"/>
    <pivotField showAll="0"/>
    <pivotField showAll="0"/>
    <pivotField showAll="0"/>
    <pivotField numFmtId="10" showAll="0"/>
    <pivotField showAll="0"/>
    <pivotField dataField="1" showAll="0"/>
    <pivotField axis="axisRow" showAll="0">
      <items count="7">
        <item x="1"/>
        <item x="3"/>
        <item x="4"/>
        <item x="0"/>
        <item x="5"/>
        <item x="2"/>
        <item t="default"/>
      </items>
    </pivotField>
    <pivotField showAll="0"/>
  </pivotFields>
  <rowFields count="1">
    <field x="13"/>
  </rowFields>
  <rowItems count="7">
    <i>
      <x/>
    </i>
    <i>
      <x v="1"/>
    </i>
    <i>
      <x v="2"/>
    </i>
    <i>
      <x v="3"/>
    </i>
    <i>
      <x v="4"/>
    </i>
    <i>
      <x v="5"/>
    </i>
    <i t="grand">
      <x/>
    </i>
  </rowItems>
  <colItems count="1">
    <i/>
  </colItems>
  <dataFields count="1">
    <dataField name="Average of Clicks" fld="12" subtotal="average" baseField="13" baseItem="0" numFmtId="2"/>
  </dataFields>
  <formats count="7">
    <format dxfId="109">
      <pivotArea outline="0" collapsedLevelsAreSubtotals="1" fieldPosition="0"/>
    </format>
    <format dxfId="108">
      <pivotArea type="all" dataOnly="0" outline="0" fieldPosition="0"/>
    </format>
    <format dxfId="107">
      <pivotArea outline="0" collapsedLevelsAreSubtotals="1" fieldPosition="0"/>
    </format>
    <format dxfId="106">
      <pivotArea field="13" type="button" dataOnly="0" labelOnly="1" outline="0" axis="axisRow" fieldPosition="0"/>
    </format>
    <format dxfId="105">
      <pivotArea dataOnly="0" labelOnly="1" fieldPosition="0">
        <references count="1">
          <reference field="13" count="0"/>
        </references>
      </pivotArea>
    </format>
    <format dxfId="104">
      <pivotArea dataOnly="0" labelOnly="1" grandRow="1" outline="0" fieldPosition="0"/>
    </format>
    <format dxfId="1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F11A1A-7EE4-4381-947E-42CC4E653AF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3:E38" firstHeaderRow="0" firstDataRow="1" firstDataCol="1"/>
  <pivotFields count="15">
    <pivotField showAll="0"/>
    <pivotField axis="axisRow" showAll="0">
      <items count="5">
        <item x="3"/>
        <item x="2"/>
        <item x="0"/>
        <item x="1"/>
        <item t="default"/>
      </items>
    </pivotField>
    <pivotField numFmtId="14" showAll="0"/>
    <pivotField showAll="0">
      <items count="7">
        <item x="3"/>
        <item h="1" x="4"/>
        <item h="1" x="0"/>
        <item h="1" x="2"/>
        <item h="1" x="1"/>
        <item h="1" x="5"/>
        <item t="default"/>
      </items>
    </pivotField>
    <pivotField showAll="0"/>
    <pivotField dataField="1" showAll="0"/>
    <pivotField dataField="1" showAll="0"/>
    <pivotField dataField="1" showAll="0"/>
    <pivotField showAll="0"/>
    <pivotField showAll="0"/>
    <pivotField numFmtId="10" showAll="0"/>
    <pivotField showAll="0"/>
    <pivotField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6">
    <format dxfId="115">
      <pivotArea type="all" dataOnly="0" outline="0" fieldPosition="0"/>
    </format>
    <format dxfId="114">
      <pivotArea outline="0" collapsedLevelsAreSubtotals="1" fieldPosition="0"/>
    </format>
    <format dxfId="113">
      <pivotArea field="1" type="button" dataOnly="0" labelOnly="1" outline="0" axis="axisRow" fieldPosition="0"/>
    </format>
    <format dxfId="112">
      <pivotArea dataOnly="0" labelOnly="1" fieldPosition="0">
        <references count="1">
          <reference field="1" count="0"/>
        </references>
      </pivotArea>
    </format>
    <format dxfId="111">
      <pivotArea dataOnly="0" labelOnly="1" grandRow="1" outline="0" fieldPosition="0"/>
    </format>
    <format dxfId="11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6A5008-B7B3-4D1C-9C85-70741E64EAC3}"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9:D24" firstHeaderRow="0" firstDataRow="1" firstDataCol="1"/>
  <pivotFields count="10">
    <pivotField numFmtId="14" showAll="0"/>
    <pivotField numFmtId="1" showAll="0"/>
    <pivotField axis="axisRow" showAll="0" sortType="descending">
      <items count="5">
        <item x="1"/>
        <item x="0"/>
        <item x="2"/>
        <item x="3"/>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numFmtId="10" showAll="0"/>
    <pivotField showAll="0"/>
    <pivotField showAll="0"/>
  </pivotFields>
  <rowFields count="1">
    <field x="2"/>
  </rowFields>
  <rowItems count="5">
    <i>
      <x v="2"/>
    </i>
    <i>
      <x v="3"/>
    </i>
    <i>
      <x v="1"/>
    </i>
    <i>
      <x/>
    </i>
    <i t="grand">
      <x/>
    </i>
  </rowItems>
  <colFields count="1">
    <field x="-2"/>
  </colFields>
  <colItems count="2">
    <i>
      <x/>
    </i>
    <i i="1">
      <x v="1"/>
    </i>
  </colItems>
  <dataFields count="2">
    <dataField name="Sum of Growth" fld="5" baseField="0" baseItem="0"/>
    <dataField name="Sum of Growth Rate" fld="7" baseField="0" baseItem="0" numFmtId="2"/>
  </dataFields>
  <formats count="7">
    <format dxfId="83">
      <pivotArea outline="0" collapsedLevelsAreSubtotals="1" fieldPosition="0">
        <references count="1">
          <reference field="4294967294" count="1" selected="0">
            <x v="1"/>
          </reference>
        </references>
      </pivotArea>
    </format>
    <format dxfId="82">
      <pivotArea type="all" dataOnly="0" outline="0" fieldPosition="0"/>
    </format>
    <format dxfId="81">
      <pivotArea outline="0" collapsedLevelsAreSubtotals="1"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grandRow="1" outline="0" fieldPosition="0"/>
    </format>
    <format dxfId="77">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2"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2384F2-F005-4836-A3AD-85CC11DF055A}"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C13" firstHeaderRow="1" firstDataRow="1" firstDataCol="1"/>
  <pivotFields count="15">
    <pivotField showAll="0"/>
    <pivotField axis="axisRow" showAll="0">
      <items count="5">
        <item x="3"/>
        <item x="2"/>
        <item x="0"/>
        <item x="1"/>
        <item t="default"/>
      </items>
    </pivotField>
    <pivotField numFmtId="14" showAll="0"/>
    <pivotField showAll="0"/>
    <pivotField showAll="0"/>
    <pivotField showAll="0"/>
    <pivotField showAll="0"/>
    <pivotField showAll="0"/>
    <pivotField showAll="0"/>
    <pivotField dataField="1" showAll="0"/>
    <pivotField numFmtId="10" showAll="0"/>
    <pivotField showAll="0"/>
    <pivotField showAll="0"/>
    <pivotField showAll="0"/>
    <pivotField showAll="0"/>
  </pivotFields>
  <rowFields count="1">
    <field x="1"/>
  </rowFields>
  <rowItems count="5">
    <i>
      <x/>
    </i>
    <i>
      <x v="1"/>
    </i>
    <i>
      <x v="2"/>
    </i>
    <i>
      <x v="3"/>
    </i>
    <i t="grand">
      <x/>
    </i>
  </rowItems>
  <colItems count="1">
    <i/>
  </colItems>
  <dataFields count="1">
    <dataField name="Sum of Engagement" fld="9" baseField="0" baseItem="0"/>
  </dataFields>
  <formats count="6">
    <format dxfId="89">
      <pivotArea type="all" dataOnly="0" outline="0" fieldPosition="0"/>
    </format>
    <format dxfId="88">
      <pivotArea outline="0" collapsedLevelsAreSubtotals="1" fieldPosition="0"/>
    </format>
    <format dxfId="87">
      <pivotArea field="1" type="button" dataOnly="0" labelOnly="1" outline="0" axis="axisRow" fieldPosition="0"/>
    </format>
    <format dxfId="86">
      <pivotArea dataOnly="0" labelOnly="1" fieldPosition="0">
        <references count="1">
          <reference field="1" count="0"/>
        </references>
      </pivotArea>
    </format>
    <format dxfId="85">
      <pivotArea dataOnly="0" labelOnly="1" grandRow="1" outline="0" fieldPosition="0"/>
    </format>
    <format dxfId="84">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D0AACD-89C6-46F1-A650-9E98E7EF58B0}"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0:C35" firstHeaderRow="1" firstDataRow="1" firstDataCol="1"/>
  <pivotFields count="15">
    <pivotField showAll="0"/>
    <pivotField axis="axisRow" showAll="0">
      <items count="5">
        <item x="3"/>
        <item x="2"/>
        <item x="0"/>
        <item x="1"/>
        <item t="default"/>
      </items>
    </pivotField>
    <pivotField numFmtId="14" showAll="0"/>
    <pivotField showAll="0"/>
    <pivotField showAll="0"/>
    <pivotField showAll="0"/>
    <pivotField showAll="0"/>
    <pivotField showAll="0"/>
    <pivotField showAll="0"/>
    <pivotField dataField="1" showAll="0"/>
    <pivotField numFmtId="10" showAll="0"/>
    <pivotField showAll="0"/>
    <pivotField showAll="0"/>
    <pivotField showAll="0"/>
    <pivotField showAll="0"/>
  </pivotFields>
  <rowFields count="1">
    <field x="1"/>
  </rowFields>
  <rowItems count="5">
    <i>
      <x/>
    </i>
    <i>
      <x v="1"/>
    </i>
    <i>
      <x v="2"/>
    </i>
    <i>
      <x v="3"/>
    </i>
    <i t="grand">
      <x/>
    </i>
  </rowItems>
  <colItems count="1">
    <i/>
  </colItems>
  <dataFields count="1">
    <dataField name="Sum of Engageme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50A609-C11F-4421-BFF6-3B4DAE9A76ED}" name="PivotTable1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0:E35" firstHeaderRow="1" firstDataRow="1" firstDataCol="1"/>
  <pivotFields count="10">
    <pivotField numFmtId="14" showAll="0"/>
    <pivotField numFmtId="1" showAll="0"/>
    <pivotField axis="axisRow" showAll="0">
      <items count="5">
        <item x="1"/>
        <item x="0"/>
        <item x="2"/>
        <item x="3"/>
        <item t="default"/>
      </items>
    </pivotField>
    <pivotField showAll="0"/>
    <pivotField showAll="0"/>
    <pivotField showAll="0"/>
    <pivotField showAll="0"/>
    <pivotField numFmtId="10" showAll="0"/>
    <pivotField showAll="0"/>
    <pivotField dataField="1" showAll="0"/>
  </pivotFields>
  <rowFields count="1">
    <field x="2"/>
  </rowFields>
  <rowItems count="5">
    <i>
      <x/>
    </i>
    <i>
      <x v="1"/>
    </i>
    <i>
      <x v="2"/>
    </i>
    <i>
      <x v="3"/>
    </i>
    <i t="grand">
      <x/>
    </i>
  </rowItems>
  <colItems count="1">
    <i/>
  </colItems>
  <dataFields count="1">
    <dataField name="Sum of Ad_Spen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81CDB8-75DB-47F7-81BE-366BA9641A89}"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1:D38" firstHeaderRow="0" firstDataRow="1" firstDataCol="1"/>
  <pivotFields count="15">
    <pivotField showAll="0"/>
    <pivotField showAll="0"/>
    <pivotField numFmtId="14" showAll="0"/>
    <pivotField axis="axisRow" showAll="0" sortType="descending">
      <items count="7">
        <item x="3"/>
        <item x="4"/>
        <item x="0"/>
        <item x="2"/>
        <item x="1"/>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dataField="1" numFmtId="10" showAll="0"/>
    <pivotField showAll="0"/>
    <pivotField showAll="0"/>
    <pivotField showAll="0">
      <items count="7">
        <item x="1"/>
        <item x="3"/>
        <item x="4"/>
        <item x="0"/>
        <item x="5"/>
        <item x="2"/>
        <item t="default"/>
      </items>
    </pivotField>
    <pivotField showAll="0"/>
  </pivotFields>
  <rowFields count="1">
    <field x="3"/>
  </rowFields>
  <rowItems count="7">
    <i>
      <x v="3"/>
    </i>
    <i>
      <x v="2"/>
    </i>
    <i>
      <x/>
    </i>
    <i>
      <x v="5"/>
    </i>
    <i>
      <x v="1"/>
    </i>
    <i>
      <x v="4"/>
    </i>
    <i t="grand">
      <x/>
    </i>
  </rowItems>
  <colFields count="1">
    <field x="-2"/>
  </colFields>
  <colItems count="2">
    <i>
      <x/>
    </i>
    <i i="1">
      <x v="1"/>
    </i>
  </colItems>
  <dataFields count="2">
    <dataField name="Average of Engagement" fld="9" subtotal="average" baseField="3" baseItem="2" numFmtId="2"/>
    <dataField name="Average of Engagement Rate" fld="10" subtotal="average" baseField="3" baseItem="2" numFmtId="2"/>
  </dataFields>
  <formats count="8">
    <format dxfId="63">
      <pivotArea outline="0" collapsedLevelsAreSubtotals="1" fieldPosition="0">
        <references count="1">
          <reference field="4294967294" count="1" selected="0">
            <x v="1"/>
          </reference>
        </references>
      </pivotArea>
    </format>
    <format dxfId="62">
      <pivotArea type="all" dataOnly="0" outline="0" fieldPosition="0"/>
    </format>
    <format dxfId="61">
      <pivotArea outline="0" collapsedLevelsAreSubtotals="1" fieldPosition="0"/>
    </format>
    <format dxfId="60">
      <pivotArea field="3" type="button" dataOnly="0" labelOnly="1" outline="0" axis="axisRow" fieldPosition="0"/>
    </format>
    <format dxfId="59">
      <pivotArea dataOnly="0" labelOnly="1" fieldPosition="0">
        <references count="1">
          <reference field="3"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outline="0" collapsedLevelsAreSubtotals="1" fieldPosition="0">
        <references count="1">
          <reference field="4294967294" count="1" selected="0">
            <x v="0"/>
          </reference>
        </references>
      </pivotArea>
    </format>
  </formats>
  <conditionalFormats count="1">
    <conditionalFormat priority="3">
      <pivotAreas count="1">
        <pivotArea type="data" collapsedLevelsAreSubtotals="1" fieldPosition="0">
          <references count="2">
            <reference field="4294967294" count="1" selected="0">
              <x v="1"/>
            </reference>
            <reference field="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320C11-761B-400A-995F-D455A24666CB}"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Hashtags Used">
  <location ref="B18:D25" firstHeaderRow="0" firstDataRow="1" firstDataCol="1"/>
  <pivotFields count="15">
    <pivotField showAll="0"/>
    <pivotField showAll="0"/>
    <pivotField numFmtId="14" showAll="0"/>
    <pivotField showAll="0"/>
    <pivotField showAll="0"/>
    <pivotField showAll="0"/>
    <pivotField showAll="0"/>
    <pivotField showAll="0"/>
    <pivotField showAll="0"/>
    <pivotField dataField="1" showAll="0"/>
    <pivotField dataField="1" numFmtId="10" showAll="0"/>
    <pivotField showAll="0"/>
    <pivotField showAll="0"/>
    <pivotField axis="axisRow" showAll="0" sortType="descending">
      <items count="7">
        <item x="1"/>
        <item x="3"/>
        <item x="4"/>
        <item x="0"/>
        <item x="5"/>
        <item x="2"/>
        <item t="default"/>
      </items>
      <autoSortScope>
        <pivotArea dataOnly="0" outline="0" fieldPosition="0">
          <references count="1">
            <reference field="4294967294" count="1" selected="0">
              <x v="1"/>
            </reference>
          </references>
        </pivotArea>
      </autoSortScope>
    </pivotField>
    <pivotField showAll="0"/>
  </pivotFields>
  <rowFields count="1">
    <field x="13"/>
  </rowFields>
  <rowItems count="7">
    <i>
      <x v="2"/>
    </i>
    <i>
      <x v="5"/>
    </i>
    <i>
      <x v="3"/>
    </i>
    <i>
      <x/>
    </i>
    <i>
      <x v="1"/>
    </i>
    <i>
      <x v="4"/>
    </i>
    <i t="grand">
      <x/>
    </i>
  </rowItems>
  <colFields count="1">
    <field x="-2"/>
  </colFields>
  <colItems count="2">
    <i>
      <x/>
    </i>
    <i i="1">
      <x v="1"/>
    </i>
  </colItems>
  <dataFields count="2">
    <dataField name="Sum of Engagement" fld="9" baseField="0" baseItem="0"/>
    <dataField name="Sum of Engagement Rate" fld="10" baseField="0" baseItem="0" numFmtId="2"/>
  </dataFields>
  <formats count="7">
    <format dxfId="70">
      <pivotArea outline="0" collapsedLevelsAreSubtotals="1" fieldPosition="0">
        <references count="1">
          <reference field="4294967294" count="1" selected="0">
            <x v="1"/>
          </reference>
        </references>
      </pivotArea>
    </format>
    <format dxfId="69">
      <pivotArea type="all" dataOnly="0" outline="0" fieldPosition="0"/>
    </format>
    <format dxfId="68">
      <pivotArea outline="0" collapsedLevelsAreSubtotals="1" fieldPosition="0"/>
    </format>
    <format dxfId="67">
      <pivotArea field="13" type="button" dataOnly="0" labelOnly="1" outline="0" axis="axisRow" fieldPosition="0"/>
    </format>
    <format dxfId="66">
      <pivotArea dataOnly="0" labelOnly="1" fieldPosition="0">
        <references count="1">
          <reference field="13"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s>
  <conditionalFormats count="1">
    <conditionalFormat priority="2">
      <pivotAreas count="1">
        <pivotArea type="data" collapsedLevelsAreSubtotals="1" fieldPosition="0">
          <references count="2">
            <reference field="4294967294" count="1" selected="0">
              <x v="1"/>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54EAA4-926C-4A58-BCFD-112CC2D3391A}" name="PivotTable2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Hashtags Used">
  <location ref="B7:C13" firstHeaderRow="1" firstDataRow="1" firstDataCol="1"/>
  <pivotFields count="15">
    <pivotField showAll="0"/>
    <pivotField showAll="0"/>
    <pivotField numFmtId="14" showAll="0"/>
    <pivotField showAll="0"/>
    <pivotField showAll="0"/>
    <pivotField showAll="0"/>
    <pivotField showAll="0"/>
    <pivotField showAll="0"/>
    <pivotField showAll="0"/>
    <pivotField showAll="0"/>
    <pivotField numFmtId="10" showAll="0"/>
    <pivotField showAll="0"/>
    <pivotField showAll="0"/>
    <pivotField axis="axisRow" dataField="1"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6">
    <i>
      <x v="5"/>
    </i>
    <i>
      <x v="3"/>
    </i>
    <i>
      <x v="2"/>
    </i>
    <i>
      <x/>
    </i>
    <i>
      <x v="1"/>
    </i>
    <i>
      <x v="4"/>
    </i>
  </rowItems>
  <colItems count="1">
    <i/>
  </colItems>
  <dataFields count="1">
    <dataField name="Count of Hashtags Used" fld="13" subtotal="count" baseField="0" baseItem="0"/>
  </dataFields>
  <formats count="6">
    <format dxfId="76">
      <pivotArea type="all" dataOnly="0" outline="0" fieldPosition="0"/>
    </format>
    <format dxfId="75">
      <pivotArea outline="0" collapsedLevelsAreSubtotals="1" fieldPosition="0"/>
    </format>
    <format dxfId="74">
      <pivotArea field="13" type="button" dataOnly="0" labelOnly="1" outline="0" axis="axisRow" fieldPosition="0"/>
    </format>
    <format dxfId="73">
      <pivotArea dataOnly="0" labelOnly="1" fieldPosition="0">
        <references count="1">
          <reference field="13" count="0"/>
        </references>
      </pivotArea>
    </format>
    <format dxfId="72">
      <pivotArea dataOnly="0" labelOnly="1" grandRow="1" outline="0" fieldPosition="0"/>
    </format>
    <format dxfId="71">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C3F0FC-E042-4004-AD01-98D1E83DA85D}"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E14" firstHeaderRow="0" firstDataRow="1" firstDataCol="1"/>
  <pivotFields count="15">
    <pivotField showAll="0"/>
    <pivotField showAll="0"/>
    <pivotField numFmtId="14" showAll="0"/>
    <pivotField showAll="0"/>
    <pivotField showAll="0"/>
    <pivotField dataField="1" showAll="0"/>
    <pivotField showAll="0"/>
    <pivotField showAll="0"/>
    <pivotField dataField="1" showAll="0"/>
    <pivotField showAll="0"/>
    <pivotField numFmtId="10" showAll="0"/>
    <pivotField showAll="0"/>
    <pivotField dataField="1" showAll="0"/>
    <pivotField showAll="0"/>
    <pivotField axis="axisRow" showAll="0">
      <items count="6">
        <item x="0"/>
        <item x="2"/>
        <item x="1"/>
        <item x="4"/>
        <item x="3"/>
        <item t="default"/>
      </items>
    </pivotField>
  </pivotFields>
  <rowFields count="1">
    <field x="14"/>
  </rowFields>
  <rowItems count="6">
    <i>
      <x/>
    </i>
    <i>
      <x v="1"/>
    </i>
    <i>
      <x v="2"/>
    </i>
    <i>
      <x v="3"/>
    </i>
    <i>
      <x v="4"/>
    </i>
    <i t="grand">
      <x/>
    </i>
  </rowItems>
  <colFields count="1">
    <field x="-2"/>
  </colFields>
  <colItems count="3">
    <i>
      <x/>
    </i>
    <i i="1">
      <x v="1"/>
    </i>
    <i i="2">
      <x v="2"/>
    </i>
  </colItems>
  <dataFields count="3">
    <dataField name="Sum of Likes" fld="5" baseField="0" baseItem="0"/>
    <dataField name="Sum of Clicks" fld="12" baseField="0" baseItem="0"/>
    <dataField name="Sum of Impressions" fld="8" baseField="0" baseItem="0"/>
  </dataFields>
  <formats count="6">
    <format dxfId="54">
      <pivotArea type="all" dataOnly="0" outline="0" fieldPosition="0"/>
    </format>
    <format dxfId="53">
      <pivotArea outline="0" collapsedLevelsAreSubtotals="1" fieldPosition="0"/>
    </format>
    <format dxfId="52">
      <pivotArea field="14" type="button" dataOnly="0" labelOnly="1" outline="0" axis="axisRow" fieldPosition="0"/>
    </format>
    <format dxfId="51">
      <pivotArea dataOnly="0" labelOnly="1" fieldPosition="0">
        <references count="1">
          <reference field="14" count="0"/>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413F40-A82C-44CF-A292-30FF0AC092E5}"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7:E23" firstHeaderRow="0" firstDataRow="1" firstDataCol="1"/>
  <pivotFields count="15">
    <pivotField showAll="0"/>
    <pivotField showAll="0"/>
    <pivotField numFmtId="14" showAll="0"/>
    <pivotField showAll="0"/>
    <pivotField showAll="0"/>
    <pivotField dataField="1" showAll="0"/>
    <pivotField showAll="0"/>
    <pivotField showAll="0"/>
    <pivotField dataField="1" showAll="0"/>
    <pivotField showAll="0"/>
    <pivotField numFmtId="10" showAll="0"/>
    <pivotField showAll="0"/>
    <pivotField dataField="1" showAll="0"/>
    <pivotField showAll="0"/>
    <pivotField axis="axisRow" showAll="0" sortType="descending">
      <items count="6">
        <item x="0"/>
        <item x="2"/>
        <item x="1"/>
        <item x="4"/>
        <item x="3"/>
        <item t="default"/>
      </items>
      <autoSortScope>
        <pivotArea dataOnly="0" outline="0" fieldPosition="0">
          <references count="1">
            <reference field="4294967294" count="1" selected="0">
              <x v="0"/>
            </reference>
          </references>
        </pivotArea>
      </autoSortScope>
    </pivotField>
  </pivotFields>
  <rowFields count="1">
    <field x="14"/>
  </rowFields>
  <rowItems count="6">
    <i>
      <x/>
    </i>
    <i>
      <x v="2"/>
    </i>
    <i>
      <x v="4"/>
    </i>
    <i>
      <x v="3"/>
    </i>
    <i>
      <x v="1"/>
    </i>
    <i t="grand">
      <x/>
    </i>
  </rowItems>
  <colFields count="1">
    <field x="-2"/>
  </colFields>
  <colItems count="3">
    <i>
      <x/>
    </i>
    <i i="1">
      <x v="1"/>
    </i>
    <i i="2">
      <x v="2"/>
    </i>
  </colItems>
  <dataFields count="3">
    <dataField name="Average of Likes" fld="5" subtotal="average" baseField="14" baseItem="2"/>
    <dataField name="Average of Clicks" fld="12" subtotal="average" baseField="14" baseItem="2"/>
    <dataField name="Average of Impressions" fld="8" subtotal="average" baseField="14" baseItem="2"/>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A0189F-7872-4D2E-B541-2B2E51D658D7}" name="PivotTable30"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Week">
  <location ref="B67:C77" firstHeaderRow="1" firstDataRow="1" firstDataCol="1"/>
  <pivotFields count="10">
    <pivotField numFmtId="14" showAll="0"/>
    <pivotField axis="axisRow" numFmtId="1"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numFmtId="10" showAll="0"/>
    <pivotField showAll="0"/>
    <pivotField showAll="0"/>
  </pivotFields>
  <rowFields count="1">
    <field x="1"/>
  </rowFields>
  <rowItems count="10">
    <i>
      <x v="14"/>
    </i>
    <i>
      <x v="22"/>
    </i>
    <i>
      <x v="26"/>
    </i>
    <i>
      <x v="27"/>
    </i>
    <i>
      <x v="28"/>
    </i>
    <i>
      <x v="30"/>
    </i>
    <i>
      <x v="36"/>
    </i>
    <i>
      <x v="38"/>
    </i>
    <i>
      <x v="43"/>
    </i>
    <i>
      <x v="48"/>
    </i>
  </rowItems>
  <colItems count="1">
    <i/>
  </colItems>
  <dataFields count="1">
    <dataField name="Sum of Growth" fld="5" baseField="0" baseItem="0"/>
  </dataFields>
  <formats count="1">
    <format dxfId="0">
      <pivotArea dataOnly="0" labelOnly="1" fieldPosition="0">
        <references count="1">
          <reference field="1" count="10">
            <x v="14"/>
            <x v="22"/>
            <x v="26"/>
            <x v="27"/>
            <x v="28"/>
            <x v="30"/>
            <x v="36"/>
            <x v="38"/>
            <x v="43"/>
            <x v="48"/>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59F208-7119-4543-8969-7610822CAA29}" name="PivotTable2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Week">
  <location ref="B9:G61" firstHeaderRow="1" firstDataRow="2" firstDataCol="1"/>
  <pivotFields count="10">
    <pivotField numFmtId="14" showAll="0"/>
    <pivotField axis="axisRow" numFmtI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showAll="0"/>
    <pivotField showAll="0"/>
    <pivotField dataField="1" showAll="0"/>
    <pivotField showAll="0"/>
    <pivotField numFmtId="10" showAll="0"/>
    <pivotField showAll="0"/>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5">
    <i>
      <x/>
    </i>
    <i>
      <x v="1"/>
    </i>
    <i>
      <x v="2"/>
    </i>
    <i>
      <x v="3"/>
    </i>
    <i t="grand">
      <x/>
    </i>
  </colItems>
  <dataFields count="1">
    <dataField name="Sum of Growth" fld="5" baseField="0" baseItem="0"/>
  </dataFields>
  <formats count="10">
    <format dxfId="34">
      <pivotArea type="all" dataOnly="0" outline="0" fieldPosition="0"/>
    </format>
    <format dxfId="33">
      <pivotArea outline="0" collapsedLevelsAreSubtotals="1" fieldPosition="0"/>
    </format>
    <format dxfId="32">
      <pivotArea type="origin" dataOnly="0" labelOnly="1" outline="0" fieldPosition="0"/>
    </format>
    <format dxfId="31">
      <pivotArea field="2" type="button" dataOnly="0" labelOnly="1" outline="0" axis="axisCol" fieldPosition="0"/>
    </format>
    <format dxfId="30">
      <pivotArea type="topRight" dataOnly="0" labelOnly="1" outline="0"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fieldPosition="0">
        <references count="1">
          <reference field="2" count="0"/>
        </references>
      </pivotArea>
    </format>
    <format dxfId="25">
      <pivotArea dataOnly="0" labelOnly="1" grandCol="1" outline="0"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FD9C0D-326A-442E-A013-AA62C40FAF13}" name="PivotTable3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Week">
  <location ref="B87:C137" firstHeaderRow="1" firstDataRow="1" firstDataCol="1"/>
  <pivotFields count="10">
    <pivotField numFmtId="14" showAll="0"/>
    <pivotField axis="axisRow" numFmtI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numFmtId="10" showAll="0"/>
    <pivotField showAll="0"/>
    <pivotField showAl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Growth" fld="5" baseField="0" baseItem="0"/>
  </dataFields>
  <formats count="5">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F93AA59-8B38-4E2F-8701-8A49290EA919}" autoFormatId="16" applyNumberFormats="0" applyBorderFormats="0" applyFontFormats="0" applyPatternFormats="0" applyAlignmentFormats="0" applyWidthHeightFormats="0">
  <queryTableRefresh nextId="16">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4" dataBound="0" tableColumnId="14"/>
      <queryTableField id="15" dataBound="0" tableColumnId="15"/>
      <queryTableField id="10" name="Reach" tableColumnId="10"/>
      <queryTableField id="11" name="Clicks" tableColumnId="11"/>
      <queryTableField id="12" name="Hashtags Used" tableColumnId="12"/>
      <queryTableField id="13" name="Campaign_Na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A4824F9-726C-42C4-BF97-059611E7F6AF}"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4C7C9B76-3F3C-40EE-B068-E07713A52F3A}" autoFormatId="16" applyNumberFormats="0" applyBorderFormats="0" applyFontFormats="0" applyPatternFormats="0" applyAlignmentFormats="0" applyWidthHeightFormats="0">
  <queryTableRefresh nextId="13" unboundColumnsRight="1">
    <queryTableFields count="11">
      <queryTableField id="1" name="Week_Start_Date" tableColumnId="1"/>
      <queryTableField id="8" dataBound="0" tableColumnId="8"/>
      <queryTableField id="2" name="Platform" tableColumnId="2"/>
      <queryTableField id="3" name="New_Followers" tableColumnId="3"/>
      <queryTableField id="4" name="Unfollows" tableColumnId="4"/>
      <queryTableField id="9" dataBound="0" tableColumnId="9"/>
      <queryTableField id="5" name="Total_Followers" tableColumnId="5"/>
      <queryTableField id="10" dataBound="0" tableColumnId="10"/>
      <queryTableField id="6" name="Engagement_Rate" tableColumnId="6"/>
      <queryTableField id="7" name="Ad_Spend" tableColumnId="7"/>
      <queryTableField id="12"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E22FCA89-DC43-488A-AC00-72EFD1B1CBED}" sourceName="Content Type">
  <pivotTables>
    <pivotTable tabId="1" name="PivotTable5"/>
  </pivotTables>
  <data>
    <tabular pivotCacheId="1015968564">
      <items count="6">
        <i x="3" s="1"/>
        <i x="4"/>
        <i x="0"/>
        <i x="2"/>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Type 1" xr10:uid="{B04F16DF-B6C1-4868-B075-C06CFCF6BE98}" cache="Slicer_Content_Type" caption="Content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9E1625-A167-403A-9664-45268CE1D98A}" name="Posts" displayName="Posts" ref="A1:O340" tableType="queryTable" totalsRowShown="0">
  <tableColumns count="15">
    <tableColumn id="1" xr3:uid="{304AAF25-E255-40AF-87AD-366EF30FF48E}" uniqueName="1" name="Post ID" queryTableFieldId="1" dataDxfId="136"/>
    <tableColumn id="2" xr3:uid="{65BFA183-3863-4B10-89E7-5CBBB0CDE6D0}" uniqueName="2" name="Platform" queryTableFieldId="2" dataDxfId="135"/>
    <tableColumn id="3" xr3:uid="{ABD29B24-3EC8-4A78-AFC8-96E6EA233B09}" uniqueName="3" name="Date" queryTableFieldId="3" dataDxfId="134"/>
    <tableColumn id="4" xr3:uid="{1DEF8D2C-6776-47AD-B40D-E7D0C746A6BA}" uniqueName="4" name="Content Type" queryTableFieldId="4" dataDxfId="133"/>
    <tableColumn id="5" xr3:uid="{EC697742-A6A6-47C8-8F3E-1F1A80693ECE}" uniqueName="5" name="Post Text" queryTableFieldId="5" dataDxfId="132"/>
    <tableColumn id="6" xr3:uid="{8C4CB2FB-BC92-4F32-A9AA-76D04D484710}" uniqueName="6" name="Likes" queryTableFieldId="6"/>
    <tableColumn id="7" xr3:uid="{0001A38D-7009-414D-959B-EE997C169A71}" uniqueName="7" name="Shares" queryTableFieldId="7"/>
    <tableColumn id="8" xr3:uid="{A9A812C8-F642-4C9F-9478-D16CCAFB3B7C}" uniqueName="8" name="Comments" queryTableFieldId="8"/>
    <tableColumn id="9" xr3:uid="{65B06694-A92C-4316-82E2-7BD4999A056C}" uniqueName="9" name="Impressions" queryTableFieldId="9"/>
    <tableColumn id="14" xr3:uid="{1791ACC0-55FB-49AF-AC53-A06602837386}" uniqueName="14" name="Engagement" queryTableFieldId="14" dataDxfId="131">
      <calculatedColumnFormula>Posts[[#This Row],[Likes]]+Posts[[#This Row],[Shares]]+Posts[[#This Row],[Comments]]</calculatedColumnFormula>
    </tableColumn>
    <tableColumn id="15" xr3:uid="{E43DD82C-8108-41D1-9717-EC39B79EDAD1}" uniqueName="15" name="Engagement Rate" queryTableFieldId="15" dataDxfId="130" dataCellStyle="Percent">
      <calculatedColumnFormula>Posts[[#This Row],[Engagement]]/Posts[[#This Row],[Impressions]]</calculatedColumnFormula>
    </tableColumn>
    <tableColumn id="10" xr3:uid="{6FFE1A56-CC11-4984-9CC3-15BCB3B8A1B8}" uniqueName="10" name="Reach" queryTableFieldId="10"/>
    <tableColumn id="11" xr3:uid="{AFAA973F-93D0-4EA7-9F45-62D2A5A2BBEE}" uniqueName="11" name="Clicks" queryTableFieldId="11"/>
    <tableColumn id="12" xr3:uid="{4E0CF4F1-E8B9-4616-B0BC-3130B653A035}" uniqueName="12" name="Hashtags Used" queryTableFieldId="12" dataDxfId="129"/>
    <tableColumn id="13" xr3:uid="{88DD618C-2A1F-43F6-B8B3-5EC01B09BBAA}" uniqueName="13" name="Campaign_Name" queryTableFieldId="13" dataDxfId="1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DB2BC3-DDF8-410C-ACB3-B1D763B7CD72}" name="Campaign_Metadata" displayName="Campaign_Metadata" ref="A1:G5" tableType="queryTable" totalsRowShown="0">
  <tableColumns count="7">
    <tableColumn id="1" xr3:uid="{1C7D07FE-730F-4FAE-AE8B-E4A08C5781E9}" uniqueName="1" name="Campaign_Name" queryTableFieldId="1" dataDxfId="127"/>
    <tableColumn id="2" xr3:uid="{954D0CCE-BD27-44FC-84EC-33197B5B6739}" uniqueName="2" name="Start_Date" queryTableFieldId="2" dataDxfId="126"/>
    <tableColumn id="3" xr3:uid="{A301DE88-61A0-46CF-8CAC-6BDB333EE1C7}" uniqueName="3" name="End_Date" queryTableFieldId="3" dataDxfId="125"/>
    <tableColumn id="4" xr3:uid="{B7683526-11B7-462E-A653-56AAB1B8BCBD}" uniqueName="4" name="Objective" queryTableFieldId="4" dataDxfId="124"/>
    <tableColumn id="5" xr3:uid="{BE79E256-8105-4E8A-B8A9-8132358DE321}" uniqueName="5" name="Total_Budget" queryTableFieldId="5"/>
    <tableColumn id="6" xr3:uid="{9B4CB7AB-CEAC-4E2A-B7CE-FE0BA4E6D832}" uniqueName="6" name="Target_Platforms" queryTableFieldId="6" dataDxfId="123"/>
    <tableColumn id="7" xr3:uid="{D9F23A4F-EECB-4497-8F54-71FDE07F74CC}" uniqueName="7" name="Primary_Hashtags" queryTableFieldId="7" dataDxfId="1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0B69AD-DDDF-469B-B8EA-1F62C4487D53}" name="Engagement_Summary" displayName="Engagement_Summary" ref="A1:K201" tableType="queryTable" totalsRowShown="0">
  <tableColumns count="11">
    <tableColumn id="1" xr3:uid="{BE0A7EBA-E41A-4737-BCD1-DD945BFC922F}" uniqueName="1" name="Week_Start_Date" queryTableFieldId="1" dataDxfId="121"/>
    <tableColumn id="8" xr3:uid="{F0FB0EA0-56F9-4076-9AD5-B1BD21014573}" uniqueName="8" name="Week" queryTableFieldId="8" dataDxfId="120">
      <calculatedColumnFormula>MATCH(A2,_xlfn.UNIQUE($A$2:$A$200),0)</calculatedColumnFormula>
    </tableColumn>
    <tableColumn id="2" xr3:uid="{F8890B40-C6F7-4865-8132-50DE6174AB6F}" uniqueName="2" name="Platform" queryTableFieldId="2" dataDxfId="119"/>
    <tableColumn id="3" xr3:uid="{51919EA3-C7AE-49A1-A4D4-6CEC542DF53F}" uniqueName="3" name="New_Followers" queryTableFieldId="3"/>
    <tableColumn id="4" xr3:uid="{6D928DBA-676F-411F-A0A1-A565563EF14D}" uniqueName="4" name="Unfollows" queryTableFieldId="4"/>
    <tableColumn id="9" xr3:uid="{5B9F9445-BA88-478A-8FD6-0F9A935BD6CD}" uniqueName="9" name="Growth" queryTableFieldId="9" dataDxfId="118">
      <calculatedColumnFormula>Engagement_Summary[[#This Row],[New_Followers]]-Engagement_Summary[[#This Row],[Unfollows]]</calculatedColumnFormula>
    </tableColumn>
    <tableColumn id="5" xr3:uid="{1539DD27-915E-4E45-B16E-6D8F84AC7847}" uniqueName="5" name="Total_Followers" queryTableFieldId="5"/>
    <tableColumn id="10" xr3:uid="{0A3B85F1-1F23-4633-8254-6E69F820BCB9}" uniqueName="10" name="Growth Rate" queryTableFieldId="10" dataDxfId="117" dataCellStyle="Percent">
      <calculatedColumnFormula>Engagement_Summary[[#This Row],[Growth]]/Engagement_Summary[[#This Row],[Total_Followers]]</calculatedColumnFormula>
    </tableColumn>
    <tableColumn id="6" xr3:uid="{FD2698CF-8273-4F05-86B8-270E991C12AA}" uniqueName="6" name="Engagement_Rate2" queryTableFieldId="6"/>
    <tableColumn id="7" xr3:uid="{4C4AADC4-E056-43D6-9370-3ACBEF8C7771}" uniqueName="7" name="Ad_Spend" queryTableFieldId="7"/>
    <tableColumn id="11" xr3:uid="{6470BB79-EDE3-4FEB-A079-2E9327829D93}" uniqueName="11" name="Campaign Name" queryTableFieldId="12" dataDxfId="116">
      <calculatedColumnFormula>IF(AND(A2&gt;=Campaign!$B$2,A2&lt;=Campaign!$C$2),"CybertruckLaunch",IF(AND(A2&gt;=Campaign!$B$3,A2&lt;=Campaign!$C$3),"ModelYcampaign",IF(AND(A2&gt;=Campaign!$B$4,A2&lt;=Campaign!$C$4),"FSDUpdate",IF(AND(A2&gt;=Campaign!$B$5,A2&lt;=Campaign!$C$5),"SustainabilityDrive","No Campaign"))))</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CF676E-0555-4AE6-8156-775D318DB63D}" name="Table4" displayName="Table4" ref="B30:G34" totalsRowShown="0" headerRowDxfId="48" headerRowBorderDxfId="47" tableBorderDxfId="46">
  <autoFilter ref="B30:G34" xr:uid="{4CCF676E-0555-4AE6-8156-775D318DB63D}"/>
  <tableColumns count="6">
    <tableColumn id="1" xr3:uid="{9BC16EC7-E7D4-49AA-91CB-B3F83A3A5938}" name="Campaign_Name"/>
    <tableColumn id="2" xr3:uid="{A8395C1D-7D64-4DEA-9FAA-FE88D8124747}" name="Start_Date"/>
    <tableColumn id="3" xr3:uid="{6AE79C86-7674-47D9-A478-6D04FEF152A7}" name="End_Date"/>
    <tableColumn id="4" xr3:uid="{E0E7BD09-637C-4794-8CC7-5350B190F498}" name="Before engg" dataDxfId="45">
      <calculatedColumnFormula>AVERAGEIFS(Posts[Engagement],Posts[Campaign_Name],B31,Posts[Date],"&lt;"&amp;C31)</calculatedColumnFormula>
    </tableColumn>
    <tableColumn id="5" xr3:uid="{06F8C3EF-E6D1-4851-90E6-C362EDC7C0CA}" name="During engg" dataDxfId="44">
      <calculatedColumnFormula>AVERAGEIFS(Posts[Engagement],Posts[Campaign_Name],B31,Posts[Date],"&gt;="&amp;C31,Posts[Date],"&lt;"&amp;D31)</calculatedColumnFormula>
    </tableColumn>
    <tableColumn id="6" xr3:uid="{D7735B9C-145C-4946-BB0F-12A1BC4AB952}" name="uplift" dataDxfId="43" dataCellStyle="Percent">
      <calculatedColumnFormula>(F31-E31)/E31</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3DDDC3-6681-4D03-9A3D-0E67144D23D9}" name="Table5" displayName="Table5" ref="B62:C66" totalsRowShown="0" headerRowDxfId="42" headerRowBorderDxfId="41" tableBorderDxfId="40">
  <autoFilter ref="B62:C66" xr:uid="{D43DDDC3-6681-4D03-9A3D-0E67144D23D9}"/>
  <sortState xmlns:xlrd2="http://schemas.microsoft.com/office/spreadsheetml/2017/richdata2" ref="B63:C66">
    <sortCondition descending="1" ref="C63:C66"/>
  </sortState>
  <tableColumns count="2">
    <tableColumn id="1" xr3:uid="{8BDC90BB-03A9-465A-BEAF-8392502508E7}" name="Campaign_Name"/>
    <tableColumn id="2" xr3:uid="{413DE815-C4FB-45DA-ABFD-9AB0455F7244}" name="Growth">
      <calculatedColumnFormula>SUMIFS(Engagement_Summary[Growth],Engagement_Summary[Campaign Name],B63)</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drive.google.com/file/d/1lNlFUnIV-vZCJ1BUAPSirTbtmKhl0EWl/view?usp=sharing__;!!D5WlZnHMtQ!W25virWoRLLVS6evf7-6sQl1QKx3x3XD0bBw9FrnkXLidgskO-Xw9Vvp3YLy3gM_yK18eKQJ5NRKt_YKhEePyFJ3d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FBF2-3743-467F-92F0-19E173924EBA}">
  <dimension ref="A1:O340"/>
  <sheetViews>
    <sheetView tabSelected="1" workbookViewId="0">
      <selection activeCell="O2" sqref="O2"/>
    </sheetView>
  </sheetViews>
  <sheetFormatPr defaultRowHeight="14.5" x14ac:dyDescent="0.35"/>
  <cols>
    <col min="1" max="1" width="9.08984375" bestFit="1" customWidth="1"/>
    <col min="2" max="2" width="10.453125" bestFit="1" customWidth="1"/>
    <col min="3" max="3" width="10.08984375" bestFit="1" customWidth="1"/>
    <col min="4" max="4" width="14.36328125" bestFit="1" customWidth="1"/>
    <col min="5" max="5" width="37.453125" bestFit="1" customWidth="1"/>
    <col min="6" max="6" width="7.1796875" bestFit="1" customWidth="1"/>
    <col min="7" max="7" width="8.6328125" bestFit="1" customWidth="1"/>
    <col min="8" max="8" width="12.1796875" bestFit="1" customWidth="1"/>
    <col min="9" max="9" width="13.1796875" bestFit="1" customWidth="1"/>
    <col min="10" max="11" width="13.1796875" customWidth="1"/>
    <col min="12" max="12" width="8.08984375" bestFit="1" customWidth="1"/>
    <col min="13" max="13" width="7.7265625" bestFit="1" customWidth="1"/>
    <col min="14" max="14" width="20.08984375" bestFit="1" customWidth="1"/>
    <col min="15" max="15" width="17.36328125" bestFit="1" customWidth="1"/>
  </cols>
  <sheetData>
    <row r="1" spans="1:15" x14ac:dyDescent="0.35">
      <c r="A1" t="s">
        <v>33</v>
      </c>
      <c r="B1" t="s">
        <v>24</v>
      </c>
      <c r="C1" t="s">
        <v>34</v>
      </c>
      <c r="D1" t="s">
        <v>35</v>
      </c>
      <c r="E1" t="s">
        <v>36</v>
      </c>
      <c r="F1" t="s">
        <v>37</v>
      </c>
      <c r="G1" t="s">
        <v>38</v>
      </c>
      <c r="H1" t="s">
        <v>39</v>
      </c>
      <c r="I1" t="s">
        <v>40</v>
      </c>
      <c r="J1" t="s">
        <v>382</v>
      </c>
      <c r="K1" t="s">
        <v>383</v>
      </c>
      <c r="L1" t="s">
        <v>41</v>
      </c>
      <c r="M1" t="s">
        <v>42</v>
      </c>
      <c r="N1" t="s">
        <v>43</v>
      </c>
      <c r="O1" t="s">
        <v>0</v>
      </c>
    </row>
    <row r="2" spans="1:15" x14ac:dyDescent="0.35">
      <c r="A2" s="1" t="s">
        <v>44</v>
      </c>
      <c r="B2" s="1" t="s">
        <v>31</v>
      </c>
      <c r="C2" s="2">
        <v>45649</v>
      </c>
      <c r="D2" s="1" t="s">
        <v>45</v>
      </c>
      <c r="E2" s="1" t="s">
        <v>46</v>
      </c>
      <c r="F2">
        <v>1461</v>
      </c>
      <c r="G2">
        <v>184</v>
      </c>
      <c r="H2">
        <v>344</v>
      </c>
      <c r="I2">
        <v>21915</v>
      </c>
      <c r="J2">
        <f>Posts[[#This Row],[Likes]]+Posts[[#This Row],[Shares]]+Posts[[#This Row],[Comments]]</f>
        <v>1989</v>
      </c>
      <c r="K2" s="10">
        <f>Posts[[#This Row],[Engagement]]/Posts[[#This Row],[Impressions]]</f>
        <v>9.0759753593429152E-2</v>
      </c>
      <c r="L2">
        <v>21675</v>
      </c>
      <c r="M2">
        <v>15</v>
      </c>
      <c r="N2" s="1" t="s">
        <v>47</v>
      </c>
      <c r="O2" s="1" t="s">
        <v>7</v>
      </c>
    </row>
    <row r="3" spans="1:15" x14ac:dyDescent="0.35">
      <c r="A3" s="1" t="s">
        <v>44</v>
      </c>
      <c r="B3" s="1" t="s">
        <v>31</v>
      </c>
      <c r="C3" s="2">
        <v>45649</v>
      </c>
      <c r="D3" s="1" t="s">
        <v>45</v>
      </c>
      <c r="E3" s="1" t="s">
        <v>46</v>
      </c>
      <c r="F3">
        <v>1461</v>
      </c>
      <c r="G3">
        <v>184</v>
      </c>
      <c r="H3">
        <v>344</v>
      </c>
      <c r="I3">
        <v>21915</v>
      </c>
      <c r="J3">
        <f>Posts[[#This Row],[Likes]]+Posts[[#This Row],[Shares]]+Posts[[#This Row],[Comments]]</f>
        <v>1989</v>
      </c>
      <c r="K3" s="10">
        <f>Posts[[#This Row],[Engagement]]/Posts[[#This Row],[Impressions]]</f>
        <v>9.0759753593429152E-2</v>
      </c>
      <c r="L3">
        <v>21675</v>
      </c>
      <c r="M3">
        <v>15</v>
      </c>
      <c r="N3" s="1" t="s">
        <v>48</v>
      </c>
      <c r="O3" s="1" t="s">
        <v>7</v>
      </c>
    </row>
    <row r="4" spans="1:15" x14ac:dyDescent="0.35">
      <c r="A4" s="1" t="s">
        <v>49</v>
      </c>
      <c r="B4" s="1" t="s">
        <v>31</v>
      </c>
      <c r="C4" s="2">
        <v>45750</v>
      </c>
      <c r="D4" s="1" t="s">
        <v>50</v>
      </c>
      <c r="E4" s="1" t="s">
        <v>51</v>
      </c>
      <c r="F4">
        <v>4054</v>
      </c>
      <c r="G4">
        <v>389</v>
      </c>
      <c r="H4">
        <v>493</v>
      </c>
      <c r="I4">
        <v>64864</v>
      </c>
      <c r="J4">
        <f>Posts[[#This Row],[Likes]]+Posts[[#This Row],[Shares]]+Posts[[#This Row],[Comments]]</f>
        <v>4936</v>
      </c>
      <c r="K4" s="10">
        <f>Posts[[#This Row],[Engagement]]/Posts[[#This Row],[Impressions]]</f>
        <v>7.6097681302417369E-2</v>
      </c>
      <c r="L4">
        <v>64383</v>
      </c>
      <c r="M4">
        <v>117</v>
      </c>
      <c r="N4" s="1" t="s">
        <v>52</v>
      </c>
      <c r="O4" s="1" t="s">
        <v>11</v>
      </c>
    </row>
    <row r="5" spans="1:15" x14ac:dyDescent="0.35">
      <c r="A5" s="1" t="s">
        <v>49</v>
      </c>
      <c r="B5" s="1" t="s">
        <v>31</v>
      </c>
      <c r="C5" s="2">
        <v>45750</v>
      </c>
      <c r="D5" s="1" t="s">
        <v>50</v>
      </c>
      <c r="E5" s="1" t="s">
        <v>51</v>
      </c>
      <c r="F5">
        <v>4054</v>
      </c>
      <c r="G5">
        <v>389</v>
      </c>
      <c r="H5">
        <v>493</v>
      </c>
      <c r="I5">
        <v>64864</v>
      </c>
      <c r="J5">
        <f>Posts[[#This Row],[Likes]]+Posts[[#This Row],[Shares]]+Posts[[#This Row],[Comments]]</f>
        <v>4936</v>
      </c>
      <c r="K5" s="10">
        <f>Posts[[#This Row],[Engagement]]/Posts[[#This Row],[Impressions]]</f>
        <v>7.6097681302417369E-2</v>
      </c>
      <c r="L5">
        <v>64383</v>
      </c>
      <c r="M5">
        <v>117</v>
      </c>
      <c r="N5" s="1" t="s">
        <v>53</v>
      </c>
      <c r="O5" s="1" t="s">
        <v>11</v>
      </c>
    </row>
    <row r="6" spans="1:15" x14ac:dyDescent="0.35">
      <c r="A6" s="1" t="s">
        <v>54</v>
      </c>
      <c r="B6" s="1" t="s">
        <v>32</v>
      </c>
      <c r="C6" s="2">
        <v>45789</v>
      </c>
      <c r="D6" s="1" t="s">
        <v>45</v>
      </c>
      <c r="E6" s="1" t="s">
        <v>55</v>
      </c>
      <c r="F6">
        <v>2795</v>
      </c>
      <c r="G6">
        <v>105</v>
      </c>
      <c r="H6">
        <v>49</v>
      </c>
      <c r="I6">
        <v>53105</v>
      </c>
      <c r="J6">
        <f>Posts[[#This Row],[Likes]]+Posts[[#This Row],[Shares]]+Posts[[#This Row],[Comments]]</f>
        <v>2949</v>
      </c>
      <c r="K6" s="10">
        <f>Posts[[#This Row],[Engagement]]/Posts[[#This Row],[Impressions]]</f>
        <v>5.5531494209584788E-2</v>
      </c>
      <c r="L6">
        <v>52307</v>
      </c>
      <c r="M6">
        <v>204</v>
      </c>
      <c r="N6" s="1" t="s">
        <v>52</v>
      </c>
      <c r="O6" s="1" t="s">
        <v>15</v>
      </c>
    </row>
    <row r="7" spans="1:15" x14ac:dyDescent="0.35">
      <c r="A7" s="1" t="s">
        <v>56</v>
      </c>
      <c r="B7" s="1" t="s">
        <v>29</v>
      </c>
      <c r="C7" s="2">
        <v>45516</v>
      </c>
      <c r="D7" s="1" t="s">
        <v>57</v>
      </c>
      <c r="E7" s="1" t="s">
        <v>58</v>
      </c>
      <c r="F7">
        <v>2404</v>
      </c>
      <c r="G7">
        <v>363</v>
      </c>
      <c r="H7">
        <v>138</v>
      </c>
      <c r="I7">
        <v>19232</v>
      </c>
      <c r="J7">
        <f>Posts[[#This Row],[Likes]]+Posts[[#This Row],[Shares]]+Posts[[#This Row],[Comments]]</f>
        <v>2905</v>
      </c>
      <c r="K7" s="10">
        <f>Posts[[#This Row],[Engagement]]/Posts[[#This Row],[Impressions]]</f>
        <v>0.15105033277870217</v>
      </c>
      <c r="L7">
        <v>18636</v>
      </c>
      <c r="M7">
        <v>128</v>
      </c>
      <c r="N7" s="1" t="s">
        <v>59</v>
      </c>
      <c r="O7" s="1" t="s">
        <v>19</v>
      </c>
    </row>
    <row r="8" spans="1:15" x14ac:dyDescent="0.35">
      <c r="A8" s="1" t="s">
        <v>60</v>
      </c>
      <c r="B8" s="1" t="s">
        <v>32</v>
      </c>
      <c r="C8" s="2">
        <v>45469</v>
      </c>
      <c r="D8" s="1" t="s">
        <v>45</v>
      </c>
      <c r="E8" s="1" t="s">
        <v>55</v>
      </c>
      <c r="F8">
        <v>3557</v>
      </c>
      <c r="G8">
        <v>687</v>
      </c>
      <c r="H8">
        <v>424</v>
      </c>
      <c r="I8">
        <v>71140</v>
      </c>
      <c r="J8">
        <f>Posts[[#This Row],[Likes]]+Posts[[#This Row],[Shares]]+Posts[[#This Row],[Comments]]</f>
        <v>4668</v>
      </c>
      <c r="K8" s="10">
        <f>Posts[[#This Row],[Engagement]]/Posts[[#This Row],[Impressions]]</f>
        <v>6.5617093055946027E-2</v>
      </c>
      <c r="L8">
        <v>70701</v>
      </c>
      <c r="M8">
        <v>224</v>
      </c>
      <c r="N8" s="1" t="s">
        <v>59</v>
      </c>
      <c r="O8" s="1" t="s">
        <v>7</v>
      </c>
    </row>
    <row r="9" spans="1:15" x14ac:dyDescent="0.35">
      <c r="A9" s="1" t="s">
        <v>60</v>
      </c>
      <c r="B9" s="1" t="s">
        <v>32</v>
      </c>
      <c r="C9" s="2">
        <v>45469</v>
      </c>
      <c r="D9" s="1" t="s">
        <v>45</v>
      </c>
      <c r="E9" s="1" t="s">
        <v>55</v>
      </c>
      <c r="F9">
        <v>3557</v>
      </c>
      <c r="G9">
        <v>687</v>
      </c>
      <c r="H9">
        <v>424</v>
      </c>
      <c r="I9">
        <v>71140</v>
      </c>
      <c r="J9">
        <f>Posts[[#This Row],[Likes]]+Posts[[#This Row],[Shares]]+Posts[[#This Row],[Comments]]</f>
        <v>4668</v>
      </c>
      <c r="K9" s="10">
        <f>Posts[[#This Row],[Engagement]]/Posts[[#This Row],[Impressions]]</f>
        <v>6.5617093055946027E-2</v>
      </c>
      <c r="L9">
        <v>70701</v>
      </c>
      <c r="M9">
        <v>224</v>
      </c>
      <c r="N9" s="1" t="s">
        <v>52</v>
      </c>
      <c r="O9" s="1" t="s">
        <v>7</v>
      </c>
    </row>
    <row r="10" spans="1:15" x14ac:dyDescent="0.35">
      <c r="A10" s="1" t="s">
        <v>61</v>
      </c>
      <c r="B10" s="1" t="s">
        <v>30</v>
      </c>
      <c r="C10" s="2">
        <v>45596</v>
      </c>
      <c r="D10" s="1" t="s">
        <v>62</v>
      </c>
      <c r="E10" s="1" t="s">
        <v>63</v>
      </c>
      <c r="F10">
        <v>2945</v>
      </c>
      <c r="G10">
        <v>930</v>
      </c>
      <c r="H10">
        <v>355</v>
      </c>
      <c r="I10">
        <v>23560</v>
      </c>
      <c r="J10">
        <f>Posts[[#This Row],[Likes]]+Posts[[#This Row],[Shares]]+Posts[[#This Row],[Comments]]</f>
        <v>4230</v>
      </c>
      <c r="K10" s="10">
        <f>Posts[[#This Row],[Engagement]]/Posts[[#This Row],[Impressions]]</f>
        <v>0.17954159592529711</v>
      </c>
      <c r="L10">
        <v>23275</v>
      </c>
      <c r="M10">
        <v>256</v>
      </c>
      <c r="N10" s="1" t="s">
        <v>52</v>
      </c>
      <c r="O10" s="1" t="s">
        <v>11</v>
      </c>
    </row>
    <row r="11" spans="1:15" x14ac:dyDescent="0.35">
      <c r="A11" s="1" t="s">
        <v>64</v>
      </c>
      <c r="B11" s="1" t="s">
        <v>31</v>
      </c>
      <c r="C11" s="2">
        <v>45467</v>
      </c>
      <c r="D11" s="1" t="s">
        <v>62</v>
      </c>
      <c r="E11" s="1" t="s">
        <v>65</v>
      </c>
      <c r="F11">
        <v>3860</v>
      </c>
      <c r="G11">
        <v>201</v>
      </c>
      <c r="H11">
        <v>279</v>
      </c>
      <c r="I11">
        <v>61760</v>
      </c>
      <c r="J11">
        <f>Posts[[#This Row],[Likes]]+Posts[[#This Row],[Shares]]+Posts[[#This Row],[Comments]]</f>
        <v>4340</v>
      </c>
      <c r="K11" s="10">
        <f>Posts[[#This Row],[Engagement]]/Posts[[#This Row],[Impressions]]</f>
        <v>7.0272020725388601E-2</v>
      </c>
      <c r="L11">
        <v>61660</v>
      </c>
      <c r="M11">
        <v>235</v>
      </c>
      <c r="N11" s="1" t="s">
        <v>52</v>
      </c>
      <c r="O11" s="1" t="s">
        <v>11</v>
      </c>
    </row>
    <row r="12" spans="1:15" x14ac:dyDescent="0.35">
      <c r="A12" s="1" t="s">
        <v>66</v>
      </c>
      <c r="B12" s="1" t="s">
        <v>32</v>
      </c>
      <c r="C12" s="2">
        <v>45486</v>
      </c>
      <c r="D12" s="1" t="s">
        <v>67</v>
      </c>
      <c r="E12" s="1" t="s">
        <v>68</v>
      </c>
      <c r="F12">
        <v>3929</v>
      </c>
      <c r="G12">
        <v>262</v>
      </c>
      <c r="H12">
        <v>278</v>
      </c>
      <c r="I12">
        <v>43219</v>
      </c>
      <c r="J12">
        <f>Posts[[#This Row],[Likes]]+Posts[[#This Row],[Shares]]+Posts[[#This Row],[Comments]]</f>
        <v>4469</v>
      </c>
      <c r="K12" s="10">
        <f>Posts[[#This Row],[Engagement]]/Posts[[#This Row],[Impressions]]</f>
        <v>0.10340359564080613</v>
      </c>
      <c r="L12">
        <v>42841</v>
      </c>
      <c r="M12">
        <v>39</v>
      </c>
      <c r="N12" s="1" t="s">
        <v>59</v>
      </c>
      <c r="O12" s="1" t="s">
        <v>19</v>
      </c>
    </row>
    <row r="13" spans="1:15" x14ac:dyDescent="0.35">
      <c r="A13" s="1" t="s">
        <v>69</v>
      </c>
      <c r="B13" s="1" t="s">
        <v>30</v>
      </c>
      <c r="C13" s="2">
        <v>45534</v>
      </c>
      <c r="D13" s="1" t="s">
        <v>50</v>
      </c>
      <c r="E13" s="1" t="s">
        <v>70</v>
      </c>
      <c r="F13">
        <v>3784</v>
      </c>
      <c r="G13">
        <v>808</v>
      </c>
      <c r="H13">
        <v>404</v>
      </c>
      <c r="I13">
        <v>56760</v>
      </c>
      <c r="J13">
        <f>Posts[[#This Row],[Likes]]+Posts[[#This Row],[Shares]]+Posts[[#This Row],[Comments]]</f>
        <v>4996</v>
      </c>
      <c r="K13" s="10">
        <f>Posts[[#This Row],[Engagement]]/Posts[[#This Row],[Impressions]]</f>
        <v>8.8019732205778717E-2</v>
      </c>
      <c r="L13">
        <v>56343</v>
      </c>
      <c r="M13">
        <v>131</v>
      </c>
      <c r="N13" s="1" t="s">
        <v>52</v>
      </c>
      <c r="O13" s="1" t="s">
        <v>11</v>
      </c>
    </row>
    <row r="14" spans="1:15" x14ac:dyDescent="0.35">
      <c r="A14" s="1" t="s">
        <v>71</v>
      </c>
      <c r="B14" s="1" t="s">
        <v>30</v>
      </c>
      <c r="C14" s="2">
        <v>45727</v>
      </c>
      <c r="D14" s="1" t="s">
        <v>67</v>
      </c>
      <c r="E14" s="1" t="s">
        <v>72</v>
      </c>
      <c r="F14">
        <v>4241</v>
      </c>
      <c r="G14">
        <v>902</v>
      </c>
      <c r="H14">
        <v>47</v>
      </c>
      <c r="I14">
        <v>72097</v>
      </c>
      <c r="J14">
        <f>Posts[[#This Row],[Likes]]+Posts[[#This Row],[Shares]]+Posts[[#This Row],[Comments]]</f>
        <v>5190</v>
      </c>
      <c r="K14" s="10">
        <f>Posts[[#This Row],[Engagement]]/Posts[[#This Row],[Impressions]]</f>
        <v>7.198635172059864E-2</v>
      </c>
      <c r="L14">
        <v>71598</v>
      </c>
      <c r="M14">
        <v>167</v>
      </c>
      <c r="N14" s="1" t="s">
        <v>52</v>
      </c>
      <c r="O14" s="1" t="s">
        <v>11</v>
      </c>
    </row>
    <row r="15" spans="1:15" x14ac:dyDescent="0.35">
      <c r="A15" s="1" t="s">
        <v>73</v>
      </c>
      <c r="B15" s="1" t="s">
        <v>29</v>
      </c>
      <c r="C15" s="2">
        <v>45690</v>
      </c>
      <c r="D15" s="1" t="s">
        <v>57</v>
      </c>
      <c r="E15" s="1" t="s">
        <v>58</v>
      </c>
      <c r="F15">
        <v>1792</v>
      </c>
      <c r="G15">
        <v>614</v>
      </c>
      <c r="H15">
        <v>497</v>
      </c>
      <c r="I15">
        <v>25088</v>
      </c>
      <c r="J15">
        <f>Posts[[#This Row],[Likes]]+Posts[[#This Row],[Shares]]+Posts[[#This Row],[Comments]]</f>
        <v>2903</v>
      </c>
      <c r="K15" s="10">
        <f>Posts[[#This Row],[Engagement]]/Posts[[#This Row],[Impressions]]</f>
        <v>0.11571269132653061</v>
      </c>
      <c r="L15">
        <v>24675</v>
      </c>
      <c r="M15">
        <v>65</v>
      </c>
      <c r="N15" s="1" t="s">
        <v>47</v>
      </c>
      <c r="O15" s="1" t="s">
        <v>19</v>
      </c>
    </row>
    <row r="16" spans="1:15" x14ac:dyDescent="0.35">
      <c r="A16" s="1" t="s">
        <v>74</v>
      </c>
      <c r="B16" s="1" t="s">
        <v>30</v>
      </c>
      <c r="C16" s="2">
        <v>45494</v>
      </c>
      <c r="D16" s="1" t="s">
        <v>45</v>
      </c>
      <c r="E16" s="1" t="s">
        <v>75</v>
      </c>
      <c r="F16">
        <v>1946</v>
      </c>
      <c r="G16">
        <v>686</v>
      </c>
      <c r="H16">
        <v>377</v>
      </c>
      <c r="I16">
        <v>23352</v>
      </c>
      <c r="J16">
        <f>Posts[[#This Row],[Likes]]+Posts[[#This Row],[Shares]]+Posts[[#This Row],[Comments]]</f>
        <v>3009</v>
      </c>
      <c r="K16" s="10">
        <f>Posts[[#This Row],[Engagement]]/Posts[[#This Row],[Impressions]]</f>
        <v>0.12885405960945528</v>
      </c>
      <c r="L16">
        <v>22982</v>
      </c>
      <c r="M16">
        <v>213</v>
      </c>
      <c r="N16" s="1" t="s">
        <v>47</v>
      </c>
      <c r="O16" s="1" t="s">
        <v>15</v>
      </c>
    </row>
    <row r="17" spans="1:15" x14ac:dyDescent="0.35">
      <c r="A17" s="1" t="s">
        <v>76</v>
      </c>
      <c r="B17" s="1" t="s">
        <v>32</v>
      </c>
      <c r="C17" s="2">
        <v>45614</v>
      </c>
      <c r="D17" s="1" t="s">
        <v>62</v>
      </c>
      <c r="E17" s="1" t="s">
        <v>77</v>
      </c>
      <c r="F17">
        <v>1171</v>
      </c>
      <c r="G17">
        <v>286</v>
      </c>
      <c r="H17">
        <v>231</v>
      </c>
      <c r="I17">
        <v>22249</v>
      </c>
      <c r="J17">
        <f>Posts[[#This Row],[Likes]]+Posts[[#This Row],[Shares]]+Posts[[#This Row],[Comments]]</f>
        <v>1688</v>
      </c>
      <c r="K17" s="10">
        <f>Posts[[#This Row],[Engagement]]/Posts[[#This Row],[Impressions]]</f>
        <v>7.5868578363072495E-2</v>
      </c>
      <c r="L17">
        <v>21282</v>
      </c>
      <c r="M17">
        <v>114</v>
      </c>
      <c r="N17" s="1" t="s">
        <v>59</v>
      </c>
      <c r="O17" s="1" t="s">
        <v>7</v>
      </c>
    </row>
    <row r="18" spans="1:15" x14ac:dyDescent="0.35">
      <c r="A18" s="1" t="s">
        <v>78</v>
      </c>
      <c r="B18" s="1" t="s">
        <v>30</v>
      </c>
      <c r="C18" s="2">
        <v>45704</v>
      </c>
      <c r="D18" s="1" t="s">
        <v>57</v>
      </c>
      <c r="E18" s="1" t="s">
        <v>79</v>
      </c>
      <c r="F18">
        <v>4242</v>
      </c>
      <c r="G18">
        <v>555</v>
      </c>
      <c r="H18">
        <v>131</v>
      </c>
      <c r="I18">
        <v>33936</v>
      </c>
      <c r="J18">
        <f>Posts[[#This Row],[Likes]]+Posts[[#This Row],[Shares]]+Posts[[#This Row],[Comments]]</f>
        <v>4928</v>
      </c>
      <c r="K18" s="10">
        <f>Posts[[#This Row],[Engagement]]/Posts[[#This Row],[Impressions]]</f>
        <v>0.14521452145214522</v>
      </c>
      <c r="L18">
        <v>33802</v>
      </c>
      <c r="M18">
        <v>265</v>
      </c>
      <c r="N18" s="1" t="s">
        <v>47</v>
      </c>
      <c r="O18" s="1" t="s">
        <v>80</v>
      </c>
    </row>
    <row r="19" spans="1:15" x14ac:dyDescent="0.35">
      <c r="A19" s="1" t="s">
        <v>81</v>
      </c>
      <c r="B19" s="1" t="s">
        <v>30</v>
      </c>
      <c r="C19" s="2">
        <v>45589</v>
      </c>
      <c r="D19" s="1" t="s">
        <v>82</v>
      </c>
      <c r="E19" s="1" t="s">
        <v>83</v>
      </c>
      <c r="F19">
        <v>3888</v>
      </c>
      <c r="G19">
        <v>604</v>
      </c>
      <c r="H19">
        <v>128</v>
      </c>
      <c r="I19">
        <v>77760</v>
      </c>
      <c r="J19">
        <f>Posts[[#This Row],[Likes]]+Posts[[#This Row],[Shares]]+Posts[[#This Row],[Comments]]</f>
        <v>4620</v>
      </c>
      <c r="K19" s="10">
        <f>Posts[[#This Row],[Engagement]]/Posts[[#This Row],[Impressions]]</f>
        <v>5.941358024691358E-2</v>
      </c>
      <c r="L19">
        <v>77167</v>
      </c>
      <c r="M19">
        <v>20</v>
      </c>
      <c r="N19" s="1" t="s">
        <v>47</v>
      </c>
      <c r="O19" s="1" t="s">
        <v>7</v>
      </c>
    </row>
    <row r="20" spans="1:15" x14ac:dyDescent="0.35">
      <c r="A20" s="1" t="s">
        <v>84</v>
      </c>
      <c r="B20" s="1" t="s">
        <v>30</v>
      </c>
      <c r="C20" s="2">
        <v>45530</v>
      </c>
      <c r="D20" s="1" t="s">
        <v>50</v>
      </c>
      <c r="E20" s="1" t="s">
        <v>70</v>
      </c>
      <c r="F20">
        <v>3452</v>
      </c>
      <c r="G20">
        <v>377</v>
      </c>
      <c r="H20">
        <v>360</v>
      </c>
      <c r="I20">
        <v>55232</v>
      </c>
      <c r="J20">
        <f>Posts[[#This Row],[Likes]]+Posts[[#This Row],[Shares]]+Posts[[#This Row],[Comments]]</f>
        <v>4189</v>
      </c>
      <c r="K20" s="10">
        <f>Posts[[#This Row],[Engagement]]/Posts[[#This Row],[Impressions]]</f>
        <v>7.5843713789107758E-2</v>
      </c>
      <c r="L20">
        <v>55075</v>
      </c>
      <c r="M20">
        <v>87</v>
      </c>
      <c r="N20" s="1" t="s">
        <v>47</v>
      </c>
      <c r="O20" s="1" t="s">
        <v>15</v>
      </c>
    </row>
    <row r="21" spans="1:15" x14ac:dyDescent="0.35">
      <c r="A21" s="1" t="s">
        <v>85</v>
      </c>
      <c r="B21" s="1" t="s">
        <v>30</v>
      </c>
      <c r="C21" s="2">
        <v>45782</v>
      </c>
      <c r="D21" s="1" t="s">
        <v>50</v>
      </c>
      <c r="E21" s="1" t="s">
        <v>70</v>
      </c>
      <c r="F21">
        <v>4441</v>
      </c>
      <c r="G21">
        <v>511</v>
      </c>
      <c r="H21">
        <v>70</v>
      </c>
      <c r="I21">
        <v>53292</v>
      </c>
      <c r="J21">
        <f>Posts[[#This Row],[Likes]]+Posts[[#This Row],[Shares]]+Posts[[#This Row],[Comments]]</f>
        <v>5022</v>
      </c>
      <c r="K21" s="10">
        <f>Posts[[#This Row],[Engagement]]/Posts[[#This Row],[Impressions]]</f>
        <v>9.4235532537716729E-2</v>
      </c>
      <c r="L21">
        <v>53082</v>
      </c>
      <c r="M21">
        <v>159</v>
      </c>
      <c r="N21" s="1" t="s">
        <v>59</v>
      </c>
      <c r="O21" s="1" t="s">
        <v>19</v>
      </c>
    </row>
    <row r="22" spans="1:15" x14ac:dyDescent="0.35">
      <c r="A22" s="1" t="s">
        <v>86</v>
      </c>
      <c r="B22" s="1" t="s">
        <v>29</v>
      </c>
      <c r="C22" s="2">
        <v>45523</v>
      </c>
      <c r="D22" s="1" t="s">
        <v>45</v>
      </c>
      <c r="E22" s="1" t="s">
        <v>87</v>
      </c>
      <c r="F22">
        <v>3000</v>
      </c>
      <c r="G22">
        <v>382</v>
      </c>
      <c r="H22">
        <v>325</v>
      </c>
      <c r="I22">
        <v>36000</v>
      </c>
      <c r="J22">
        <f>Posts[[#This Row],[Likes]]+Posts[[#This Row],[Shares]]+Posts[[#This Row],[Comments]]</f>
        <v>3707</v>
      </c>
      <c r="K22" s="10">
        <f>Posts[[#This Row],[Engagement]]/Posts[[#This Row],[Impressions]]</f>
        <v>0.10297222222222223</v>
      </c>
      <c r="L22">
        <v>35819</v>
      </c>
      <c r="M22">
        <v>19</v>
      </c>
      <c r="N22" s="1" t="s">
        <v>47</v>
      </c>
      <c r="O22" s="1" t="s">
        <v>7</v>
      </c>
    </row>
    <row r="23" spans="1:15" x14ac:dyDescent="0.35">
      <c r="A23" s="1" t="s">
        <v>88</v>
      </c>
      <c r="B23" s="1" t="s">
        <v>29</v>
      </c>
      <c r="C23" s="2">
        <v>45466</v>
      </c>
      <c r="D23" s="1" t="s">
        <v>82</v>
      </c>
      <c r="E23" s="1" t="s">
        <v>89</v>
      </c>
      <c r="F23">
        <v>1071</v>
      </c>
      <c r="G23">
        <v>519</v>
      </c>
      <c r="H23">
        <v>22</v>
      </c>
      <c r="I23">
        <v>16065</v>
      </c>
      <c r="J23">
        <f>Posts[[#This Row],[Likes]]+Posts[[#This Row],[Shares]]+Posts[[#This Row],[Comments]]</f>
        <v>1612</v>
      </c>
      <c r="K23" s="10">
        <f>Posts[[#This Row],[Engagement]]/Posts[[#This Row],[Impressions]]</f>
        <v>0.10034235916588857</v>
      </c>
      <c r="L23">
        <v>15865</v>
      </c>
      <c r="M23">
        <v>103</v>
      </c>
      <c r="N23" s="1" t="s">
        <v>52</v>
      </c>
      <c r="O23" s="1" t="s">
        <v>19</v>
      </c>
    </row>
    <row r="24" spans="1:15" x14ac:dyDescent="0.35">
      <c r="A24" s="1" t="s">
        <v>90</v>
      </c>
      <c r="B24" s="1" t="s">
        <v>29</v>
      </c>
      <c r="C24" s="2">
        <v>45544</v>
      </c>
      <c r="D24" s="1" t="s">
        <v>62</v>
      </c>
      <c r="E24" s="1" t="s">
        <v>91</v>
      </c>
      <c r="F24">
        <v>4054</v>
      </c>
      <c r="G24">
        <v>488</v>
      </c>
      <c r="H24">
        <v>373</v>
      </c>
      <c r="I24">
        <v>77026</v>
      </c>
      <c r="J24">
        <f>Posts[[#This Row],[Likes]]+Posts[[#This Row],[Shares]]+Posts[[#This Row],[Comments]]</f>
        <v>4915</v>
      </c>
      <c r="K24" s="10">
        <f>Posts[[#This Row],[Engagement]]/Posts[[#This Row],[Impressions]]</f>
        <v>6.3809622724794221E-2</v>
      </c>
      <c r="L24">
        <v>76881</v>
      </c>
      <c r="M24">
        <v>25</v>
      </c>
      <c r="N24" s="1" t="s">
        <v>52</v>
      </c>
      <c r="O24" s="1" t="s">
        <v>7</v>
      </c>
    </row>
    <row r="25" spans="1:15" x14ac:dyDescent="0.35">
      <c r="A25" s="1" t="s">
        <v>92</v>
      </c>
      <c r="B25" s="1" t="s">
        <v>29</v>
      </c>
      <c r="C25" s="2">
        <v>45661</v>
      </c>
      <c r="D25" s="1" t="s">
        <v>45</v>
      </c>
      <c r="E25" s="1" t="s">
        <v>87</v>
      </c>
      <c r="F25">
        <v>4838</v>
      </c>
      <c r="G25">
        <v>640</v>
      </c>
      <c r="H25">
        <v>128</v>
      </c>
      <c r="I25">
        <v>72570</v>
      </c>
      <c r="J25">
        <f>Posts[[#This Row],[Likes]]+Posts[[#This Row],[Shares]]+Posts[[#This Row],[Comments]]</f>
        <v>5606</v>
      </c>
      <c r="K25" s="10">
        <f>Posts[[#This Row],[Engagement]]/Posts[[#This Row],[Impressions]]</f>
        <v>7.7249552156538517E-2</v>
      </c>
      <c r="L25">
        <v>72396</v>
      </c>
      <c r="M25">
        <v>83</v>
      </c>
      <c r="N25" s="1" t="s">
        <v>47</v>
      </c>
      <c r="O25" s="1" t="s">
        <v>19</v>
      </c>
    </row>
    <row r="26" spans="1:15" x14ac:dyDescent="0.35">
      <c r="A26" s="1" t="s">
        <v>93</v>
      </c>
      <c r="B26" s="1" t="s">
        <v>30</v>
      </c>
      <c r="C26" s="2">
        <v>45715</v>
      </c>
      <c r="D26" s="1" t="s">
        <v>50</v>
      </c>
      <c r="E26" s="1" t="s">
        <v>70</v>
      </c>
      <c r="F26">
        <v>1570</v>
      </c>
      <c r="G26">
        <v>187</v>
      </c>
      <c r="H26">
        <v>260</v>
      </c>
      <c r="I26">
        <v>25120</v>
      </c>
      <c r="J26">
        <f>Posts[[#This Row],[Likes]]+Posts[[#This Row],[Shares]]+Posts[[#This Row],[Comments]]</f>
        <v>2017</v>
      </c>
      <c r="K26" s="10">
        <f>Posts[[#This Row],[Engagement]]/Posts[[#This Row],[Impressions]]</f>
        <v>8.0294585987261149E-2</v>
      </c>
      <c r="L26">
        <v>24613</v>
      </c>
      <c r="M26">
        <v>133</v>
      </c>
      <c r="N26" s="1" t="s">
        <v>52</v>
      </c>
      <c r="O26" s="1" t="s">
        <v>19</v>
      </c>
    </row>
    <row r="27" spans="1:15" x14ac:dyDescent="0.35">
      <c r="A27" s="1" t="s">
        <v>94</v>
      </c>
      <c r="B27" s="1" t="s">
        <v>30</v>
      </c>
      <c r="C27" s="2">
        <v>45602</v>
      </c>
      <c r="D27" s="1" t="s">
        <v>82</v>
      </c>
      <c r="E27" s="1" t="s">
        <v>83</v>
      </c>
      <c r="F27">
        <v>1606</v>
      </c>
      <c r="G27">
        <v>547</v>
      </c>
      <c r="H27">
        <v>316</v>
      </c>
      <c r="I27">
        <v>32120</v>
      </c>
      <c r="J27">
        <f>Posts[[#This Row],[Likes]]+Posts[[#This Row],[Shares]]+Posts[[#This Row],[Comments]]</f>
        <v>2469</v>
      </c>
      <c r="K27" s="10">
        <f>Posts[[#This Row],[Engagement]]/Posts[[#This Row],[Impressions]]</f>
        <v>7.6867995018679955E-2</v>
      </c>
      <c r="L27">
        <v>31736</v>
      </c>
      <c r="M27">
        <v>225</v>
      </c>
      <c r="N27" s="1" t="s">
        <v>52</v>
      </c>
      <c r="O27" s="1" t="s">
        <v>11</v>
      </c>
    </row>
    <row r="28" spans="1:15" x14ac:dyDescent="0.35">
      <c r="A28" s="1" t="s">
        <v>94</v>
      </c>
      <c r="B28" s="1" t="s">
        <v>30</v>
      </c>
      <c r="C28" s="2">
        <v>45602</v>
      </c>
      <c r="D28" s="1" t="s">
        <v>82</v>
      </c>
      <c r="E28" s="1" t="s">
        <v>83</v>
      </c>
      <c r="F28">
        <v>1606</v>
      </c>
      <c r="G28">
        <v>547</v>
      </c>
      <c r="H28">
        <v>316</v>
      </c>
      <c r="I28">
        <v>32120</v>
      </c>
      <c r="J28">
        <f>Posts[[#This Row],[Likes]]+Posts[[#This Row],[Shares]]+Posts[[#This Row],[Comments]]</f>
        <v>2469</v>
      </c>
      <c r="K28" s="10">
        <f>Posts[[#This Row],[Engagement]]/Posts[[#This Row],[Impressions]]</f>
        <v>7.6867995018679955E-2</v>
      </c>
      <c r="L28">
        <v>31736</v>
      </c>
      <c r="M28">
        <v>225</v>
      </c>
      <c r="N28" s="1" t="s">
        <v>48</v>
      </c>
      <c r="O28" s="1" t="s">
        <v>11</v>
      </c>
    </row>
    <row r="29" spans="1:15" x14ac:dyDescent="0.35">
      <c r="A29" s="1" t="s">
        <v>95</v>
      </c>
      <c r="B29" s="1" t="s">
        <v>30</v>
      </c>
      <c r="C29" s="2">
        <v>45680</v>
      </c>
      <c r="D29" s="1" t="s">
        <v>82</v>
      </c>
      <c r="E29" s="1" t="s">
        <v>83</v>
      </c>
      <c r="F29">
        <v>3961</v>
      </c>
      <c r="G29">
        <v>761</v>
      </c>
      <c r="H29">
        <v>131</v>
      </c>
      <c r="I29">
        <v>67337</v>
      </c>
      <c r="J29">
        <f>Posts[[#This Row],[Likes]]+Posts[[#This Row],[Shares]]+Posts[[#This Row],[Comments]]</f>
        <v>4853</v>
      </c>
      <c r="K29" s="10">
        <f>Posts[[#This Row],[Engagement]]/Posts[[#This Row],[Impressions]]</f>
        <v>7.2070332803659209E-2</v>
      </c>
      <c r="L29">
        <v>66615</v>
      </c>
      <c r="M29">
        <v>161</v>
      </c>
      <c r="N29" s="1" t="s">
        <v>47</v>
      </c>
      <c r="O29" s="1" t="s">
        <v>15</v>
      </c>
    </row>
    <row r="30" spans="1:15" x14ac:dyDescent="0.35">
      <c r="A30" s="1" t="s">
        <v>96</v>
      </c>
      <c r="B30" s="1" t="s">
        <v>31</v>
      </c>
      <c r="C30" s="2">
        <v>45757</v>
      </c>
      <c r="D30" s="1" t="s">
        <v>62</v>
      </c>
      <c r="E30" s="1" t="s">
        <v>65</v>
      </c>
      <c r="F30">
        <v>3128</v>
      </c>
      <c r="G30">
        <v>211</v>
      </c>
      <c r="H30">
        <v>197</v>
      </c>
      <c r="I30">
        <v>59432</v>
      </c>
      <c r="J30">
        <f>Posts[[#This Row],[Likes]]+Posts[[#This Row],[Shares]]+Posts[[#This Row],[Comments]]</f>
        <v>3536</v>
      </c>
      <c r="K30" s="10">
        <f>Posts[[#This Row],[Engagement]]/Posts[[#This Row],[Impressions]]</f>
        <v>5.9496567505720827E-2</v>
      </c>
      <c r="L30">
        <v>59182</v>
      </c>
      <c r="M30">
        <v>238</v>
      </c>
      <c r="N30" s="1" t="s">
        <v>59</v>
      </c>
      <c r="O30" s="1" t="s">
        <v>80</v>
      </c>
    </row>
    <row r="31" spans="1:15" x14ac:dyDescent="0.35">
      <c r="A31" s="1" t="s">
        <v>97</v>
      </c>
      <c r="B31" s="1" t="s">
        <v>32</v>
      </c>
      <c r="C31" s="2">
        <v>45752</v>
      </c>
      <c r="D31" s="1" t="s">
        <v>45</v>
      </c>
      <c r="E31" s="1" t="s">
        <v>55</v>
      </c>
      <c r="F31">
        <v>3009</v>
      </c>
      <c r="G31">
        <v>413</v>
      </c>
      <c r="H31">
        <v>358</v>
      </c>
      <c r="I31">
        <v>42126</v>
      </c>
      <c r="J31">
        <f>Posts[[#This Row],[Likes]]+Posts[[#This Row],[Shares]]+Posts[[#This Row],[Comments]]</f>
        <v>3780</v>
      </c>
      <c r="K31" s="10">
        <f>Posts[[#This Row],[Engagement]]/Posts[[#This Row],[Impressions]]</f>
        <v>8.9730807577268201E-2</v>
      </c>
      <c r="L31">
        <v>41309</v>
      </c>
      <c r="M31">
        <v>211</v>
      </c>
      <c r="N31" s="1" t="s">
        <v>47</v>
      </c>
      <c r="O31" s="1" t="s">
        <v>11</v>
      </c>
    </row>
    <row r="32" spans="1:15" x14ac:dyDescent="0.35">
      <c r="A32" s="1" t="s">
        <v>98</v>
      </c>
      <c r="B32" s="1" t="s">
        <v>32</v>
      </c>
      <c r="C32" s="2">
        <v>45552</v>
      </c>
      <c r="D32" s="1" t="s">
        <v>50</v>
      </c>
      <c r="E32" s="1" t="s">
        <v>99</v>
      </c>
      <c r="F32">
        <v>2076</v>
      </c>
      <c r="G32">
        <v>195</v>
      </c>
      <c r="H32">
        <v>104</v>
      </c>
      <c r="I32">
        <v>33216</v>
      </c>
      <c r="J32">
        <f>Posts[[#This Row],[Likes]]+Posts[[#This Row],[Shares]]+Posts[[#This Row],[Comments]]</f>
        <v>2375</v>
      </c>
      <c r="K32" s="10">
        <f>Posts[[#This Row],[Engagement]]/Posts[[#This Row],[Impressions]]</f>
        <v>7.1501685934489398E-2</v>
      </c>
      <c r="L32">
        <v>32244</v>
      </c>
      <c r="M32">
        <v>51</v>
      </c>
      <c r="N32" s="1" t="s">
        <v>47</v>
      </c>
      <c r="O32" s="1" t="s">
        <v>19</v>
      </c>
    </row>
    <row r="33" spans="1:15" x14ac:dyDescent="0.35">
      <c r="A33" s="1" t="s">
        <v>100</v>
      </c>
      <c r="B33" s="1" t="s">
        <v>29</v>
      </c>
      <c r="C33" s="2">
        <v>45720</v>
      </c>
      <c r="D33" s="1" t="s">
        <v>82</v>
      </c>
      <c r="E33" s="1" t="s">
        <v>89</v>
      </c>
      <c r="F33">
        <v>432</v>
      </c>
      <c r="G33">
        <v>624</v>
      </c>
      <c r="H33">
        <v>123</v>
      </c>
      <c r="I33">
        <v>6912</v>
      </c>
      <c r="J33">
        <f>Posts[[#This Row],[Likes]]+Posts[[#This Row],[Shares]]+Posts[[#This Row],[Comments]]</f>
        <v>1179</v>
      </c>
      <c r="K33" s="10">
        <f>Posts[[#This Row],[Engagement]]/Posts[[#This Row],[Impressions]]</f>
        <v>0.17057291666666666</v>
      </c>
      <c r="L33">
        <v>6259</v>
      </c>
      <c r="M33">
        <v>79</v>
      </c>
      <c r="N33" s="1" t="s">
        <v>47</v>
      </c>
      <c r="O33" s="1" t="s">
        <v>19</v>
      </c>
    </row>
    <row r="34" spans="1:15" x14ac:dyDescent="0.35">
      <c r="A34" s="1" t="s">
        <v>101</v>
      </c>
      <c r="B34" s="1" t="s">
        <v>29</v>
      </c>
      <c r="C34" s="2">
        <v>45688</v>
      </c>
      <c r="D34" s="1" t="s">
        <v>62</v>
      </c>
      <c r="E34" s="1" t="s">
        <v>91</v>
      </c>
      <c r="F34">
        <v>2566</v>
      </c>
      <c r="G34">
        <v>118</v>
      </c>
      <c r="H34">
        <v>37</v>
      </c>
      <c r="I34">
        <v>12830</v>
      </c>
      <c r="J34">
        <f>Posts[[#This Row],[Likes]]+Posts[[#This Row],[Shares]]+Posts[[#This Row],[Comments]]</f>
        <v>2721</v>
      </c>
      <c r="K34" s="10">
        <f>Posts[[#This Row],[Engagement]]/Posts[[#This Row],[Impressions]]</f>
        <v>0.21208106001558846</v>
      </c>
      <c r="L34">
        <v>12264</v>
      </c>
      <c r="M34">
        <v>221</v>
      </c>
      <c r="N34" s="1" t="s">
        <v>47</v>
      </c>
      <c r="O34" s="1" t="s">
        <v>15</v>
      </c>
    </row>
    <row r="35" spans="1:15" x14ac:dyDescent="0.35">
      <c r="A35" s="1" t="s">
        <v>102</v>
      </c>
      <c r="B35" s="1" t="s">
        <v>29</v>
      </c>
      <c r="C35" s="2">
        <v>45713</v>
      </c>
      <c r="D35" s="1" t="s">
        <v>82</v>
      </c>
      <c r="E35" s="1" t="s">
        <v>89</v>
      </c>
      <c r="F35">
        <v>3095</v>
      </c>
      <c r="G35">
        <v>39</v>
      </c>
      <c r="H35">
        <v>78</v>
      </c>
      <c r="I35">
        <v>55710</v>
      </c>
      <c r="J35">
        <f>Posts[[#This Row],[Likes]]+Posts[[#This Row],[Shares]]+Posts[[#This Row],[Comments]]</f>
        <v>3212</v>
      </c>
      <c r="K35" s="10">
        <f>Posts[[#This Row],[Engagement]]/Posts[[#This Row],[Impressions]]</f>
        <v>5.7655717106444085E-2</v>
      </c>
      <c r="L35">
        <v>54808</v>
      </c>
      <c r="M35">
        <v>93</v>
      </c>
      <c r="N35" s="1" t="s">
        <v>59</v>
      </c>
      <c r="O35" s="1" t="s">
        <v>80</v>
      </c>
    </row>
    <row r="36" spans="1:15" x14ac:dyDescent="0.35">
      <c r="A36" s="1" t="s">
        <v>103</v>
      </c>
      <c r="B36" s="1" t="s">
        <v>29</v>
      </c>
      <c r="C36" s="2">
        <v>45642</v>
      </c>
      <c r="D36" s="1" t="s">
        <v>50</v>
      </c>
      <c r="E36" s="1" t="s">
        <v>104</v>
      </c>
      <c r="F36">
        <v>438</v>
      </c>
      <c r="G36">
        <v>153</v>
      </c>
      <c r="H36">
        <v>275</v>
      </c>
      <c r="I36">
        <v>3066</v>
      </c>
      <c r="J36">
        <f>Posts[[#This Row],[Likes]]+Posts[[#This Row],[Shares]]+Posts[[#This Row],[Comments]]</f>
        <v>866</v>
      </c>
      <c r="K36" s="10">
        <f>Posts[[#This Row],[Engagement]]/Posts[[#This Row],[Impressions]]</f>
        <v>0.28245270711024134</v>
      </c>
      <c r="L36">
        <v>2701</v>
      </c>
      <c r="M36">
        <v>282</v>
      </c>
      <c r="N36" s="1" t="s">
        <v>52</v>
      </c>
      <c r="O36" s="1" t="s">
        <v>11</v>
      </c>
    </row>
    <row r="37" spans="1:15" x14ac:dyDescent="0.35">
      <c r="A37" s="1" t="s">
        <v>105</v>
      </c>
      <c r="B37" s="1" t="s">
        <v>31</v>
      </c>
      <c r="C37" s="2">
        <v>45504</v>
      </c>
      <c r="D37" s="1" t="s">
        <v>62</v>
      </c>
      <c r="E37" s="1" t="s">
        <v>65</v>
      </c>
      <c r="F37">
        <v>2278</v>
      </c>
      <c r="G37">
        <v>10</v>
      </c>
      <c r="H37">
        <v>321</v>
      </c>
      <c r="I37">
        <v>13668</v>
      </c>
      <c r="J37">
        <f>Posts[[#This Row],[Likes]]+Posts[[#This Row],[Shares]]+Posts[[#This Row],[Comments]]</f>
        <v>2609</v>
      </c>
      <c r="K37" s="10">
        <f>Posts[[#This Row],[Engagement]]/Posts[[#This Row],[Impressions]]</f>
        <v>0.19088381621305239</v>
      </c>
      <c r="L37">
        <v>12676</v>
      </c>
      <c r="M37">
        <v>275</v>
      </c>
      <c r="N37" s="1" t="s">
        <v>59</v>
      </c>
      <c r="O37" s="1" t="s">
        <v>7</v>
      </c>
    </row>
    <row r="38" spans="1:15" x14ac:dyDescent="0.35">
      <c r="A38" s="1" t="s">
        <v>106</v>
      </c>
      <c r="B38" s="1" t="s">
        <v>30</v>
      </c>
      <c r="C38" s="2">
        <v>45525</v>
      </c>
      <c r="D38" s="1" t="s">
        <v>67</v>
      </c>
      <c r="E38" s="1" t="s">
        <v>72</v>
      </c>
      <c r="F38">
        <v>1407</v>
      </c>
      <c r="G38">
        <v>400</v>
      </c>
      <c r="H38">
        <v>351</v>
      </c>
      <c r="I38">
        <v>16884</v>
      </c>
      <c r="J38">
        <f>Posts[[#This Row],[Likes]]+Posts[[#This Row],[Shares]]+Posts[[#This Row],[Comments]]</f>
        <v>2158</v>
      </c>
      <c r="K38" s="10">
        <f>Posts[[#This Row],[Engagement]]/Posts[[#This Row],[Impressions]]</f>
        <v>0.12781331438047855</v>
      </c>
      <c r="L38">
        <v>15954</v>
      </c>
      <c r="M38">
        <v>113</v>
      </c>
      <c r="N38" s="1" t="s">
        <v>52</v>
      </c>
      <c r="O38" s="1" t="s">
        <v>7</v>
      </c>
    </row>
    <row r="39" spans="1:15" x14ac:dyDescent="0.35">
      <c r="A39" s="1" t="s">
        <v>107</v>
      </c>
      <c r="B39" s="1" t="s">
        <v>30</v>
      </c>
      <c r="C39" s="2">
        <v>45742</v>
      </c>
      <c r="D39" s="1" t="s">
        <v>50</v>
      </c>
      <c r="E39" s="1" t="s">
        <v>70</v>
      </c>
      <c r="F39">
        <v>1652</v>
      </c>
      <c r="G39">
        <v>89</v>
      </c>
      <c r="H39">
        <v>357</v>
      </c>
      <c r="I39">
        <v>29736</v>
      </c>
      <c r="J39">
        <f>Posts[[#This Row],[Likes]]+Posts[[#This Row],[Shares]]+Posts[[#This Row],[Comments]]</f>
        <v>2098</v>
      </c>
      <c r="K39" s="10">
        <f>Posts[[#This Row],[Engagement]]/Posts[[#This Row],[Impressions]]</f>
        <v>7.055421038471886E-2</v>
      </c>
      <c r="L39">
        <v>28771</v>
      </c>
      <c r="M39">
        <v>215</v>
      </c>
      <c r="N39" s="1" t="s">
        <v>52</v>
      </c>
      <c r="O39" s="1" t="s">
        <v>15</v>
      </c>
    </row>
    <row r="40" spans="1:15" x14ac:dyDescent="0.35">
      <c r="A40" s="1" t="s">
        <v>108</v>
      </c>
      <c r="B40" s="1" t="s">
        <v>29</v>
      </c>
      <c r="C40" s="2">
        <v>45626</v>
      </c>
      <c r="D40" s="1" t="s">
        <v>82</v>
      </c>
      <c r="E40" s="1" t="s">
        <v>89</v>
      </c>
      <c r="F40">
        <v>3775</v>
      </c>
      <c r="G40">
        <v>16</v>
      </c>
      <c r="H40">
        <v>239</v>
      </c>
      <c r="I40">
        <v>33975</v>
      </c>
      <c r="J40">
        <f>Posts[[#This Row],[Likes]]+Posts[[#This Row],[Shares]]+Posts[[#This Row],[Comments]]</f>
        <v>4030</v>
      </c>
      <c r="K40" s="10">
        <f>Posts[[#This Row],[Engagement]]/Posts[[#This Row],[Impressions]]</f>
        <v>0.11861662987490802</v>
      </c>
      <c r="L40">
        <v>33310</v>
      </c>
      <c r="M40">
        <v>271</v>
      </c>
      <c r="N40" s="1" t="s">
        <v>47</v>
      </c>
      <c r="O40" s="1" t="s">
        <v>11</v>
      </c>
    </row>
    <row r="41" spans="1:15" x14ac:dyDescent="0.35">
      <c r="A41" s="1" t="s">
        <v>109</v>
      </c>
      <c r="B41" s="1" t="s">
        <v>29</v>
      </c>
      <c r="C41" s="2">
        <v>45766</v>
      </c>
      <c r="D41" s="1" t="s">
        <v>57</v>
      </c>
      <c r="E41" s="1" t="s">
        <v>58</v>
      </c>
      <c r="F41">
        <v>4518</v>
      </c>
      <c r="G41">
        <v>285</v>
      </c>
      <c r="H41">
        <v>383</v>
      </c>
      <c r="I41">
        <v>67770</v>
      </c>
      <c r="J41">
        <f>Posts[[#This Row],[Likes]]+Posts[[#This Row],[Shares]]+Posts[[#This Row],[Comments]]</f>
        <v>5186</v>
      </c>
      <c r="K41" s="10">
        <f>Posts[[#This Row],[Engagement]]/Posts[[#This Row],[Impressions]]</f>
        <v>7.6523535487678915E-2</v>
      </c>
      <c r="L41">
        <v>67621</v>
      </c>
      <c r="M41">
        <v>31</v>
      </c>
      <c r="N41" s="1" t="s">
        <v>59</v>
      </c>
      <c r="O41" s="1" t="s">
        <v>11</v>
      </c>
    </row>
    <row r="42" spans="1:15" x14ac:dyDescent="0.35">
      <c r="A42" s="1" t="s">
        <v>110</v>
      </c>
      <c r="B42" s="1" t="s">
        <v>30</v>
      </c>
      <c r="C42" s="2">
        <v>45663</v>
      </c>
      <c r="D42" s="1" t="s">
        <v>62</v>
      </c>
      <c r="E42" s="1" t="s">
        <v>63</v>
      </c>
      <c r="F42">
        <v>3024</v>
      </c>
      <c r="G42">
        <v>925</v>
      </c>
      <c r="H42">
        <v>350</v>
      </c>
      <c r="I42">
        <v>24192</v>
      </c>
      <c r="J42">
        <f>Posts[[#This Row],[Likes]]+Posts[[#This Row],[Shares]]+Posts[[#This Row],[Comments]]</f>
        <v>4299</v>
      </c>
      <c r="K42" s="10">
        <f>Posts[[#This Row],[Engagement]]/Posts[[#This Row],[Impressions]]</f>
        <v>0.17770337301587302</v>
      </c>
      <c r="L42">
        <v>23518</v>
      </c>
      <c r="M42">
        <v>36</v>
      </c>
      <c r="N42" s="1" t="s">
        <v>59</v>
      </c>
      <c r="O42" s="1" t="s">
        <v>11</v>
      </c>
    </row>
    <row r="43" spans="1:15" x14ac:dyDescent="0.35">
      <c r="A43" s="1" t="s">
        <v>111</v>
      </c>
      <c r="B43" s="1" t="s">
        <v>32</v>
      </c>
      <c r="C43" s="2">
        <v>45705</v>
      </c>
      <c r="D43" s="1" t="s">
        <v>45</v>
      </c>
      <c r="E43" s="1" t="s">
        <v>55</v>
      </c>
      <c r="F43">
        <v>3138</v>
      </c>
      <c r="G43">
        <v>123</v>
      </c>
      <c r="H43">
        <v>291</v>
      </c>
      <c r="I43">
        <v>28242</v>
      </c>
      <c r="J43">
        <f>Posts[[#This Row],[Likes]]+Posts[[#This Row],[Shares]]+Posts[[#This Row],[Comments]]</f>
        <v>3552</v>
      </c>
      <c r="K43" s="10">
        <f>Posts[[#This Row],[Engagement]]/Posts[[#This Row],[Impressions]]</f>
        <v>0.12577012959422137</v>
      </c>
      <c r="L43">
        <v>27550</v>
      </c>
      <c r="M43">
        <v>87</v>
      </c>
      <c r="N43" s="1" t="s">
        <v>52</v>
      </c>
      <c r="O43" s="1" t="s">
        <v>19</v>
      </c>
    </row>
    <row r="44" spans="1:15" x14ac:dyDescent="0.35">
      <c r="A44" s="1" t="s">
        <v>112</v>
      </c>
      <c r="B44" s="1" t="s">
        <v>30</v>
      </c>
      <c r="C44" s="2">
        <v>45621</v>
      </c>
      <c r="D44" s="1" t="s">
        <v>67</v>
      </c>
      <c r="E44" s="1" t="s">
        <v>72</v>
      </c>
      <c r="F44">
        <v>3564</v>
      </c>
      <c r="G44">
        <v>629</v>
      </c>
      <c r="H44">
        <v>177</v>
      </c>
      <c r="I44">
        <v>60588</v>
      </c>
      <c r="J44">
        <f>Posts[[#This Row],[Likes]]+Posts[[#This Row],[Shares]]+Posts[[#This Row],[Comments]]</f>
        <v>4370</v>
      </c>
      <c r="K44" s="10">
        <f>Posts[[#This Row],[Engagement]]/Posts[[#This Row],[Impressions]]</f>
        <v>7.2126493695121141E-2</v>
      </c>
      <c r="L44">
        <v>59627</v>
      </c>
      <c r="M44">
        <v>92</v>
      </c>
      <c r="N44" s="1" t="s">
        <v>52</v>
      </c>
      <c r="O44" s="1" t="s">
        <v>80</v>
      </c>
    </row>
    <row r="45" spans="1:15" x14ac:dyDescent="0.35">
      <c r="A45" s="1" t="s">
        <v>113</v>
      </c>
      <c r="B45" s="1" t="s">
        <v>31</v>
      </c>
      <c r="C45" s="2">
        <v>45723</v>
      </c>
      <c r="D45" s="1" t="s">
        <v>67</v>
      </c>
      <c r="E45" s="1" t="s">
        <v>114</v>
      </c>
      <c r="F45">
        <v>4750</v>
      </c>
      <c r="G45">
        <v>151</v>
      </c>
      <c r="H45">
        <v>415</v>
      </c>
      <c r="I45">
        <v>38000</v>
      </c>
      <c r="J45">
        <f>Posts[[#This Row],[Likes]]+Posts[[#This Row],[Shares]]+Posts[[#This Row],[Comments]]</f>
        <v>5316</v>
      </c>
      <c r="K45" s="10">
        <f>Posts[[#This Row],[Engagement]]/Posts[[#This Row],[Impressions]]</f>
        <v>0.13989473684210527</v>
      </c>
      <c r="L45">
        <v>37792</v>
      </c>
      <c r="M45">
        <v>299</v>
      </c>
      <c r="N45" s="1" t="s">
        <v>59</v>
      </c>
      <c r="O45" s="1" t="s">
        <v>19</v>
      </c>
    </row>
    <row r="46" spans="1:15" x14ac:dyDescent="0.35">
      <c r="A46" s="1" t="s">
        <v>115</v>
      </c>
      <c r="B46" s="1" t="s">
        <v>29</v>
      </c>
      <c r="C46" s="2">
        <v>45724</v>
      </c>
      <c r="D46" s="1" t="s">
        <v>45</v>
      </c>
      <c r="E46" s="1" t="s">
        <v>87</v>
      </c>
      <c r="F46">
        <v>456</v>
      </c>
      <c r="G46">
        <v>629</v>
      </c>
      <c r="H46">
        <v>428</v>
      </c>
      <c r="I46">
        <v>8208</v>
      </c>
      <c r="J46">
        <f>Posts[[#This Row],[Likes]]+Posts[[#This Row],[Shares]]+Posts[[#This Row],[Comments]]</f>
        <v>1513</v>
      </c>
      <c r="K46" s="10">
        <f>Posts[[#This Row],[Engagement]]/Posts[[#This Row],[Impressions]]</f>
        <v>0.18433235867446393</v>
      </c>
      <c r="L46">
        <v>7377</v>
      </c>
      <c r="M46">
        <v>205</v>
      </c>
      <c r="N46" s="1" t="s">
        <v>47</v>
      </c>
      <c r="O46" s="1" t="s">
        <v>19</v>
      </c>
    </row>
    <row r="47" spans="1:15" x14ac:dyDescent="0.35">
      <c r="A47" s="1" t="s">
        <v>116</v>
      </c>
      <c r="B47" s="1" t="s">
        <v>32</v>
      </c>
      <c r="C47" s="2">
        <v>45721</v>
      </c>
      <c r="D47" s="1" t="s">
        <v>45</v>
      </c>
      <c r="E47" s="1" t="s">
        <v>55</v>
      </c>
      <c r="F47">
        <v>1543</v>
      </c>
      <c r="G47">
        <v>820</v>
      </c>
      <c r="H47">
        <v>333</v>
      </c>
      <c r="I47">
        <v>12344</v>
      </c>
      <c r="J47">
        <f>Posts[[#This Row],[Likes]]+Posts[[#This Row],[Shares]]+Posts[[#This Row],[Comments]]</f>
        <v>2696</v>
      </c>
      <c r="K47" s="10">
        <f>Posts[[#This Row],[Engagement]]/Posts[[#This Row],[Impressions]]</f>
        <v>0.21840570317563188</v>
      </c>
      <c r="L47">
        <v>11496</v>
      </c>
      <c r="M47">
        <v>241</v>
      </c>
      <c r="N47" s="1" t="s">
        <v>59</v>
      </c>
      <c r="O47" s="1" t="s">
        <v>80</v>
      </c>
    </row>
    <row r="48" spans="1:15" x14ac:dyDescent="0.35">
      <c r="A48" s="1" t="s">
        <v>117</v>
      </c>
      <c r="B48" s="1" t="s">
        <v>29</v>
      </c>
      <c r="C48" s="2">
        <v>45640</v>
      </c>
      <c r="D48" s="1" t="s">
        <v>62</v>
      </c>
      <c r="E48" s="1" t="s">
        <v>91</v>
      </c>
      <c r="F48">
        <v>2174</v>
      </c>
      <c r="G48">
        <v>658</v>
      </c>
      <c r="H48">
        <v>15</v>
      </c>
      <c r="I48">
        <v>13044</v>
      </c>
      <c r="J48">
        <f>Posts[[#This Row],[Likes]]+Posts[[#This Row],[Shares]]+Posts[[#This Row],[Comments]]</f>
        <v>2847</v>
      </c>
      <c r="K48" s="10">
        <f>Posts[[#This Row],[Engagement]]/Posts[[#This Row],[Impressions]]</f>
        <v>0.21826126954921804</v>
      </c>
      <c r="L48">
        <v>12206</v>
      </c>
      <c r="M48">
        <v>137</v>
      </c>
      <c r="N48" s="1" t="s">
        <v>52</v>
      </c>
      <c r="O48" s="1" t="s">
        <v>15</v>
      </c>
    </row>
    <row r="49" spans="1:15" x14ac:dyDescent="0.35">
      <c r="A49" s="1" t="s">
        <v>118</v>
      </c>
      <c r="B49" s="1" t="s">
        <v>31</v>
      </c>
      <c r="C49" s="2">
        <v>45718</v>
      </c>
      <c r="D49" s="1" t="s">
        <v>67</v>
      </c>
      <c r="E49" s="1" t="s">
        <v>114</v>
      </c>
      <c r="F49">
        <v>2358</v>
      </c>
      <c r="G49">
        <v>784</v>
      </c>
      <c r="H49">
        <v>344</v>
      </c>
      <c r="I49">
        <v>35370</v>
      </c>
      <c r="J49">
        <f>Posts[[#This Row],[Likes]]+Posts[[#This Row],[Shares]]+Posts[[#This Row],[Comments]]</f>
        <v>3486</v>
      </c>
      <c r="K49" s="10">
        <f>Posts[[#This Row],[Engagement]]/Posts[[#This Row],[Impressions]]</f>
        <v>9.8558100084817649E-2</v>
      </c>
      <c r="L49">
        <v>34475</v>
      </c>
      <c r="M49">
        <v>216</v>
      </c>
      <c r="N49" s="1" t="s">
        <v>52</v>
      </c>
      <c r="O49" s="1" t="s">
        <v>80</v>
      </c>
    </row>
    <row r="50" spans="1:15" x14ac:dyDescent="0.35">
      <c r="A50" s="1" t="s">
        <v>119</v>
      </c>
      <c r="B50" s="1" t="s">
        <v>30</v>
      </c>
      <c r="C50" s="2">
        <v>45597</v>
      </c>
      <c r="D50" s="1" t="s">
        <v>82</v>
      </c>
      <c r="E50" s="1" t="s">
        <v>83</v>
      </c>
      <c r="F50">
        <v>3371</v>
      </c>
      <c r="G50">
        <v>106</v>
      </c>
      <c r="H50">
        <v>327</v>
      </c>
      <c r="I50">
        <v>50565</v>
      </c>
      <c r="J50">
        <f>Posts[[#This Row],[Likes]]+Posts[[#This Row],[Shares]]+Posts[[#This Row],[Comments]]</f>
        <v>3804</v>
      </c>
      <c r="K50" s="10">
        <f>Posts[[#This Row],[Engagement]]/Posts[[#This Row],[Impressions]]</f>
        <v>7.5229902106199939E-2</v>
      </c>
      <c r="L50">
        <v>49816</v>
      </c>
      <c r="M50">
        <v>176</v>
      </c>
      <c r="N50" s="1" t="s">
        <v>47</v>
      </c>
      <c r="O50" s="1" t="s">
        <v>7</v>
      </c>
    </row>
    <row r="51" spans="1:15" x14ac:dyDescent="0.35">
      <c r="A51" s="1" t="s">
        <v>120</v>
      </c>
      <c r="B51" s="1" t="s">
        <v>31</v>
      </c>
      <c r="C51" s="2">
        <v>45779</v>
      </c>
      <c r="D51" s="1" t="s">
        <v>82</v>
      </c>
      <c r="E51" s="1" t="s">
        <v>121</v>
      </c>
      <c r="F51">
        <v>1108</v>
      </c>
      <c r="G51">
        <v>177</v>
      </c>
      <c r="H51">
        <v>212</v>
      </c>
      <c r="I51">
        <v>8864</v>
      </c>
      <c r="J51">
        <f>Posts[[#This Row],[Likes]]+Posts[[#This Row],[Shares]]+Posts[[#This Row],[Comments]]</f>
        <v>1497</v>
      </c>
      <c r="K51" s="10">
        <f>Posts[[#This Row],[Engagement]]/Posts[[#This Row],[Impressions]]</f>
        <v>0.16888537906137185</v>
      </c>
      <c r="L51">
        <v>8710</v>
      </c>
      <c r="M51">
        <v>97</v>
      </c>
      <c r="N51" s="1" t="s">
        <v>52</v>
      </c>
      <c r="O51" s="1" t="s">
        <v>19</v>
      </c>
    </row>
    <row r="52" spans="1:15" x14ac:dyDescent="0.35">
      <c r="A52" s="1" t="s">
        <v>122</v>
      </c>
      <c r="B52" s="1" t="s">
        <v>31</v>
      </c>
      <c r="C52" s="2">
        <v>45712</v>
      </c>
      <c r="D52" s="1" t="s">
        <v>62</v>
      </c>
      <c r="E52" s="1" t="s">
        <v>65</v>
      </c>
      <c r="F52">
        <v>2704</v>
      </c>
      <c r="G52">
        <v>752</v>
      </c>
      <c r="H52">
        <v>153</v>
      </c>
      <c r="I52">
        <v>21632</v>
      </c>
      <c r="J52">
        <f>Posts[[#This Row],[Likes]]+Posts[[#This Row],[Shares]]+Posts[[#This Row],[Comments]]</f>
        <v>3609</v>
      </c>
      <c r="K52" s="10">
        <f>Posts[[#This Row],[Engagement]]/Posts[[#This Row],[Impressions]]</f>
        <v>0.16683616863905326</v>
      </c>
      <c r="L52">
        <v>20792</v>
      </c>
      <c r="M52">
        <v>127</v>
      </c>
      <c r="N52" s="1" t="s">
        <v>47</v>
      </c>
      <c r="O52" s="1" t="s">
        <v>80</v>
      </c>
    </row>
    <row r="53" spans="1:15" x14ac:dyDescent="0.35">
      <c r="A53" s="1" t="s">
        <v>123</v>
      </c>
      <c r="B53" s="1" t="s">
        <v>31</v>
      </c>
      <c r="C53" s="2">
        <v>45727</v>
      </c>
      <c r="D53" s="1" t="s">
        <v>57</v>
      </c>
      <c r="E53" s="1" t="s">
        <v>124</v>
      </c>
      <c r="F53">
        <v>1950</v>
      </c>
      <c r="G53">
        <v>295</v>
      </c>
      <c r="H53">
        <v>478</v>
      </c>
      <c r="I53">
        <v>37050</v>
      </c>
      <c r="J53">
        <f>Posts[[#This Row],[Likes]]+Posts[[#This Row],[Shares]]+Posts[[#This Row],[Comments]]</f>
        <v>2723</v>
      </c>
      <c r="K53" s="10">
        <f>Posts[[#This Row],[Engagement]]/Posts[[#This Row],[Impressions]]</f>
        <v>7.349527665317139E-2</v>
      </c>
      <c r="L53">
        <v>36272</v>
      </c>
      <c r="M53">
        <v>119</v>
      </c>
      <c r="N53" s="1" t="s">
        <v>52</v>
      </c>
      <c r="O53" s="1" t="s">
        <v>80</v>
      </c>
    </row>
    <row r="54" spans="1:15" x14ac:dyDescent="0.35">
      <c r="A54" s="1" t="s">
        <v>125</v>
      </c>
      <c r="B54" s="1" t="s">
        <v>31</v>
      </c>
      <c r="C54" s="2">
        <v>45453</v>
      </c>
      <c r="D54" s="1" t="s">
        <v>57</v>
      </c>
      <c r="E54" s="1" t="s">
        <v>124</v>
      </c>
      <c r="F54">
        <v>2164</v>
      </c>
      <c r="G54">
        <v>549</v>
      </c>
      <c r="H54">
        <v>274</v>
      </c>
      <c r="I54">
        <v>28132</v>
      </c>
      <c r="J54">
        <f>Posts[[#This Row],[Likes]]+Posts[[#This Row],[Shares]]+Posts[[#This Row],[Comments]]</f>
        <v>2987</v>
      </c>
      <c r="K54" s="10">
        <f>Posts[[#This Row],[Engagement]]/Posts[[#This Row],[Impressions]]</f>
        <v>0.10617801791554102</v>
      </c>
      <c r="L54">
        <v>27361</v>
      </c>
      <c r="M54">
        <v>177</v>
      </c>
      <c r="N54" s="1" t="s">
        <v>52</v>
      </c>
      <c r="O54" s="1" t="s">
        <v>19</v>
      </c>
    </row>
    <row r="55" spans="1:15" x14ac:dyDescent="0.35">
      <c r="A55" s="1" t="s">
        <v>126</v>
      </c>
      <c r="B55" s="1" t="s">
        <v>32</v>
      </c>
      <c r="C55" s="2">
        <v>45476</v>
      </c>
      <c r="D55" s="1" t="s">
        <v>57</v>
      </c>
      <c r="E55" s="1" t="s">
        <v>127</v>
      </c>
      <c r="F55">
        <v>2754</v>
      </c>
      <c r="G55">
        <v>130</v>
      </c>
      <c r="H55">
        <v>90</v>
      </c>
      <c r="I55">
        <v>22032</v>
      </c>
      <c r="J55">
        <f>Posts[[#This Row],[Likes]]+Posts[[#This Row],[Shares]]+Posts[[#This Row],[Comments]]</f>
        <v>2974</v>
      </c>
      <c r="K55" s="10">
        <f>Posts[[#This Row],[Engagement]]/Posts[[#This Row],[Impressions]]</f>
        <v>0.13498547567175018</v>
      </c>
      <c r="L55">
        <v>21288</v>
      </c>
      <c r="M55">
        <v>112</v>
      </c>
      <c r="N55" s="1" t="s">
        <v>52</v>
      </c>
      <c r="O55" s="1" t="s">
        <v>15</v>
      </c>
    </row>
    <row r="56" spans="1:15" x14ac:dyDescent="0.35">
      <c r="A56" s="1" t="s">
        <v>128</v>
      </c>
      <c r="B56" s="1" t="s">
        <v>30</v>
      </c>
      <c r="C56" s="2">
        <v>45456</v>
      </c>
      <c r="D56" s="1" t="s">
        <v>62</v>
      </c>
      <c r="E56" s="1" t="s">
        <v>63</v>
      </c>
      <c r="F56">
        <v>2200</v>
      </c>
      <c r="G56">
        <v>504</v>
      </c>
      <c r="H56">
        <v>239</v>
      </c>
      <c r="I56">
        <v>37400</v>
      </c>
      <c r="J56">
        <f>Posts[[#This Row],[Likes]]+Posts[[#This Row],[Shares]]+Posts[[#This Row],[Comments]]</f>
        <v>2943</v>
      </c>
      <c r="K56" s="10">
        <f>Posts[[#This Row],[Engagement]]/Posts[[#This Row],[Impressions]]</f>
        <v>7.8689839572192513E-2</v>
      </c>
      <c r="L56">
        <v>36938</v>
      </c>
      <c r="M56">
        <v>225</v>
      </c>
      <c r="N56" s="1" t="s">
        <v>47</v>
      </c>
      <c r="O56" s="1" t="s">
        <v>11</v>
      </c>
    </row>
    <row r="57" spans="1:15" x14ac:dyDescent="0.35">
      <c r="A57" s="1" t="s">
        <v>129</v>
      </c>
      <c r="B57" s="1" t="s">
        <v>30</v>
      </c>
      <c r="C57" s="2">
        <v>45660</v>
      </c>
      <c r="D57" s="1" t="s">
        <v>67</v>
      </c>
      <c r="E57" s="1" t="s">
        <v>72</v>
      </c>
      <c r="F57">
        <v>947</v>
      </c>
      <c r="G57">
        <v>338</v>
      </c>
      <c r="H57">
        <v>350</v>
      </c>
      <c r="I57">
        <v>10417</v>
      </c>
      <c r="J57">
        <f>Posts[[#This Row],[Likes]]+Posts[[#This Row],[Shares]]+Posts[[#This Row],[Comments]]</f>
        <v>1635</v>
      </c>
      <c r="K57" s="10">
        <f>Posts[[#This Row],[Engagement]]/Posts[[#This Row],[Impressions]]</f>
        <v>0.1569549774407219</v>
      </c>
      <c r="L57">
        <v>9730</v>
      </c>
      <c r="M57">
        <v>34</v>
      </c>
      <c r="N57" s="1" t="s">
        <v>52</v>
      </c>
      <c r="O57" s="1" t="s">
        <v>19</v>
      </c>
    </row>
    <row r="58" spans="1:15" x14ac:dyDescent="0.35">
      <c r="A58" s="1" t="s">
        <v>130</v>
      </c>
      <c r="B58" s="1" t="s">
        <v>32</v>
      </c>
      <c r="C58" s="2">
        <v>45712</v>
      </c>
      <c r="D58" s="1" t="s">
        <v>62</v>
      </c>
      <c r="E58" s="1" t="s">
        <v>77</v>
      </c>
      <c r="F58">
        <v>804</v>
      </c>
      <c r="G58">
        <v>639</v>
      </c>
      <c r="H58">
        <v>43</v>
      </c>
      <c r="I58">
        <v>4020</v>
      </c>
      <c r="J58">
        <f>Posts[[#This Row],[Likes]]+Posts[[#This Row],[Shares]]+Posts[[#This Row],[Comments]]</f>
        <v>1486</v>
      </c>
      <c r="K58" s="10">
        <f>Posts[[#This Row],[Engagement]]/Posts[[#This Row],[Impressions]]</f>
        <v>0.36965174129353234</v>
      </c>
      <c r="L58">
        <v>3144</v>
      </c>
      <c r="M58">
        <v>11</v>
      </c>
      <c r="N58" s="1" t="s">
        <v>59</v>
      </c>
      <c r="O58" s="1" t="s">
        <v>80</v>
      </c>
    </row>
    <row r="59" spans="1:15" x14ac:dyDescent="0.35">
      <c r="A59" s="1" t="s">
        <v>130</v>
      </c>
      <c r="B59" s="1" t="s">
        <v>32</v>
      </c>
      <c r="C59" s="2">
        <v>45712</v>
      </c>
      <c r="D59" s="1" t="s">
        <v>62</v>
      </c>
      <c r="E59" s="1" t="s">
        <v>77</v>
      </c>
      <c r="F59">
        <v>804</v>
      </c>
      <c r="G59">
        <v>639</v>
      </c>
      <c r="H59">
        <v>43</v>
      </c>
      <c r="I59">
        <v>4020</v>
      </c>
      <c r="J59">
        <f>Posts[[#This Row],[Likes]]+Posts[[#This Row],[Shares]]+Posts[[#This Row],[Comments]]</f>
        <v>1486</v>
      </c>
      <c r="K59" s="10">
        <f>Posts[[#This Row],[Engagement]]/Posts[[#This Row],[Impressions]]</f>
        <v>0.36965174129353234</v>
      </c>
      <c r="L59">
        <v>3144</v>
      </c>
      <c r="M59">
        <v>11</v>
      </c>
      <c r="N59" s="1" t="s">
        <v>53</v>
      </c>
      <c r="O59" s="1" t="s">
        <v>80</v>
      </c>
    </row>
    <row r="60" spans="1:15" x14ac:dyDescent="0.35">
      <c r="A60" s="1" t="s">
        <v>131</v>
      </c>
      <c r="B60" s="1" t="s">
        <v>32</v>
      </c>
      <c r="C60" s="2">
        <v>45729</v>
      </c>
      <c r="D60" s="1" t="s">
        <v>62</v>
      </c>
      <c r="E60" s="1" t="s">
        <v>77</v>
      </c>
      <c r="F60">
        <v>1686</v>
      </c>
      <c r="G60">
        <v>904</v>
      </c>
      <c r="H60">
        <v>472</v>
      </c>
      <c r="I60">
        <v>18546</v>
      </c>
      <c r="J60">
        <f>Posts[[#This Row],[Likes]]+Posts[[#This Row],[Shares]]+Posts[[#This Row],[Comments]]</f>
        <v>3062</v>
      </c>
      <c r="K60" s="10">
        <f>Posts[[#This Row],[Engagement]]/Posts[[#This Row],[Impressions]]</f>
        <v>0.16510298716704411</v>
      </c>
      <c r="L60">
        <v>18171</v>
      </c>
      <c r="M60">
        <v>52</v>
      </c>
      <c r="N60" s="1" t="s">
        <v>47</v>
      </c>
      <c r="O60" s="1" t="s">
        <v>11</v>
      </c>
    </row>
    <row r="61" spans="1:15" x14ac:dyDescent="0.35">
      <c r="A61" s="1" t="s">
        <v>132</v>
      </c>
      <c r="B61" s="1" t="s">
        <v>30</v>
      </c>
      <c r="C61" s="2">
        <v>45460</v>
      </c>
      <c r="D61" s="1" t="s">
        <v>67</v>
      </c>
      <c r="E61" s="1" t="s">
        <v>72</v>
      </c>
      <c r="F61">
        <v>1226</v>
      </c>
      <c r="G61">
        <v>119</v>
      </c>
      <c r="H61">
        <v>7</v>
      </c>
      <c r="I61">
        <v>14712</v>
      </c>
      <c r="J61">
        <f>Posts[[#This Row],[Likes]]+Posts[[#This Row],[Shares]]+Posts[[#This Row],[Comments]]</f>
        <v>1352</v>
      </c>
      <c r="K61" s="10">
        <f>Posts[[#This Row],[Engagement]]/Posts[[#This Row],[Impressions]]</f>
        <v>9.1897770527460579E-2</v>
      </c>
      <c r="L61">
        <v>14049</v>
      </c>
      <c r="M61">
        <v>123</v>
      </c>
      <c r="N61" s="1" t="s">
        <v>59</v>
      </c>
      <c r="O61" s="1" t="s">
        <v>19</v>
      </c>
    </row>
    <row r="62" spans="1:15" x14ac:dyDescent="0.35">
      <c r="A62" s="1" t="s">
        <v>133</v>
      </c>
      <c r="B62" s="1" t="s">
        <v>30</v>
      </c>
      <c r="C62" s="2">
        <v>45644</v>
      </c>
      <c r="D62" s="1" t="s">
        <v>62</v>
      </c>
      <c r="E62" s="1" t="s">
        <v>63</v>
      </c>
      <c r="F62">
        <v>2946</v>
      </c>
      <c r="G62">
        <v>498</v>
      </c>
      <c r="H62">
        <v>367</v>
      </c>
      <c r="I62">
        <v>29460</v>
      </c>
      <c r="J62">
        <f>Posts[[#This Row],[Likes]]+Posts[[#This Row],[Shares]]+Posts[[#This Row],[Comments]]</f>
        <v>3811</v>
      </c>
      <c r="K62" s="10">
        <f>Posts[[#This Row],[Engagement]]/Posts[[#This Row],[Impressions]]</f>
        <v>0.12936184657162253</v>
      </c>
      <c r="L62">
        <v>28527</v>
      </c>
      <c r="M62">
        <v>60</v>
      </c>
      <c r="N62" s="1" t="s">
        <v>47</v>
      </c>
      <c r="O62" s="1" t="s">
        <v>15</v>
      </c>
    </row>
    <row r="63" spans="1:15" x14ac:dyDescent="0.35">
      <c r="A63" s="1" t="s">
        <v>134</v>
      </c>
      <c r="B63" s="1" t="s">
        <v>31</v>
      </c>
      <c r="C63" s="2">
        <v>45586</v>
      </c>
      <c r="D63" s="1" t="s">
        <v>82</v>
      </c>
      <c r="E63" s="1" t="s">
        <v>121</v>
      </c>
      <c r="F63">
        <v>2825</v>
      </c>
      <c r="G63">
        <v>535</v>
      </c>
      <c r="H63">
        <v>295</v>
      </c>
      <c r="I63">
        <v>45200</v>
      </c>
      <c r="J63">
        <f>Posts[[#This Row],[Likes]]+Posts[[#This Row],[Shares]]+Posts[[#This Row],[Comments]]</f>
        <v>3655</v>
      </c>
      <c r="K63" s="10">
        <f>Posts[[#This Row],[Engagement]]/Posts[[#This Row],[Impressions]]</f>
        <v>8.0862831858407078E-2</v>
      </c>
      <c r="L63">
        <v>44739</v>
      </c>
      <c r="M63">
        <v>169</v>
      </c>
      <c r="N63" s="1" t="s">
        <v>52</v>
      </c>
      <c r="O63" s="1" t="s">
        <v>7</v>
      </c>
    </row>
    <row r="64" spans="1:15" x14ac:dyDescent="0.35">
      <c r="A64" s="1" t="s">
        <v>135</v>
      </c>
      <c r="B64" s="1" t="s">
        <v>29</v>
      </c>
      <c r="C64" s="2">
        <v>45762</v>
      </c>
      <c r="D64" s="1" t="s">
        <v>45</v>
      </c>
      <c r="E64" s="1" t="s">
        <v>87</v>
      </c>
      <c r="F64">
        <v>103</v>
      </c>
      <c r="G64">
        <v>770</v>
      </c>
      <c r="H64">
        <v>19</v>
      </c>
      <c r="I64">
        <v>1030</v>
      </c>
      <c r="J64">
        <f>Posts[[#This Row],[Likes]]+Posts[[#This Row],[Shares]]+Posts[[#This Row],[Comments]]</f>
        <v>892</v>
      </c>
      <c r="K64" s="10">
        <f>Posts[[#This Row],[Engagement]]/Posts[[#This Row],[Impressions]]</f>
        <v>0.86601941747572819</v>
      </c>
      <c r="L64">
        <v>410</v>
      </c>
      <c r="M64">
        <v>262</v>
      </c>
      <c r="N64" s="1" t="s">
        <v>52</v>
      </c>
      <c r="O64" s="1" t="s">
        <v>19</v>
      </c>
    </row>
    <row r="65" spans="1:15" x14ac:dyDescent="0.35">
      <c r="A65" s="1" t="s">
        <v>136</v>
      </c>
      <c r="B65" s="1" t="s">
        <v>29</v>
      </c>
      <c r="C65" s="2">
        <v>45465</v>
      </c>
      <c r="D65" s="1" t="s">
        <v>50</v>
      </c>
      <c r="E65" s="1" t="s">
        <v>104</v>
      </c>
      <c r="F65">
        <v>2180</v>
      </c>
      <c r="G65">
        <v>263</v>
      </c>
      <c r="H65">
        <v>387</v>
      </c>
      <c r="I65">
        <v>30520</v>
      </c>
      <c r="J65">
        <f>Posts[[#This Row],[Likes]]+Posts[[#This Row],[Shares]]+Posts[[#This Row],[Comments]]</f>
        <v>2830</v>
      </c>
      <c r="K65" s="10">
        <f>Posts[[#This Row],[Engagement]]/Posts[[#This Row],[Impressions]]</f>
        <v>9.2726081258191345E-2</v>
      </c>
      <c r="L65">
        <v>30059</v>
      </c>
      <c r="M65">
        <v>174</v>
      </c>
      <c r="N65" s="1" t="s">
        <v>59</v>
      </c>
      <c r="O65" s="1" t="s">
        <v>80</v>
      </c>
    </row>
    <row r="66" spans="1:15" x14ac:dyDescent="0.35">
      <c r="A66" s="1" t="s">
        <v>137</v>
      </c>
      <c r="B66" s="1" t="s">
        <v>29</v>
      </c>
      <c r="C66" s="2">
        <v>45685</v>
      </c>
      <c r="D66" s="1" t="s">
        <v>82</v>
      </c>
      <c r="E66" s="1" t="s">
        <v>89</v>
      </c>
      <c r="F66">
        <v>904</v>
      </c>
      <c r="G66">
        <v>973</v>
      </c>
      <c r="H66">
        <v>63</v>
      </c>
      <c r="I66">
        <v>11752</v>
      </c>
      <c r="J66">
        <f>Posts[[#This Row],[Likes]]+Posts[[#This Row],[Shares]]+Posts[[#This Row],[Comments]]</f>
        <v>1940</v>
      </c>
      <c r="K66" s="10">
        <f>Posts[[#This Row],[Engagement]]/Posts[[#This Row],[Impressions]]</f>
        <v>0.1650782845473111</v>
      </c>
      <c r="L66">
        <v>11580</v>
      </c>
      <c r="M66">
        <v>84</v>
      </c>
      <c r="N66" s="1" t="s">
        <v>59</v>
      </c>
      <c r="O66" s="1" t="s">
        <v>15</v>
      </c>
    </row>
    <row r="67" spans="1:15" x14ac:dyDescent="0.35">
      <c r="A67" s="1" t="s">
        <v>137</v>
      </c>
      <c r="B67" s="1" t="s">
        <v>29</v>
      </c>
      <c r="C67" s="2">
        <v>45685</v>
      </c>
      <c r="D67" s="1" t="s">
        <v>82</v>
      </c>
      <c r="E67" s="1" t="s">
        <v>89</v>
      </c>
      <c r="F67">
        <v>904</v>
      </c>
      <c r="G67">
        <v>973</v>
      </c>
      <c r="H67">
        <v>63</v>
      </c>
      <c r="I67">
        <v>11752</v>
      </c>
      <c r="J67">
        <f>Posts[[#This Row],[Likes]]+Posts[[#This Row],[Shares]]+Posts[[#This Row],[Comments]]</f>
        <v>1940</v>
      </c>
      <c r="K67" s="10">
        <f>Posts[[#This Row],[Engagement]]/Posts[[#This Row],[Impressions]]</f>
        <v>0.1650782845473111</v>
      </c>
      <c r="L67">
        <v>11580</v>
      </c>
      <c r="M67">
        <v>84</v>
      </c>
      <c r="N67" s="1" t="s">
        <v>52</v>
      </c>
      <c r="O67" s="1" t="s">
        <v>15</v>
      </c>
    </row>
    <row r="68" spans="1:15" x14ac:dyDescent="0.35">
      <c r="A68" s="1" t="s">
        <v>137</v>
      </c>
      <c r="B68" s="1" t="s">
        <v>29</v>
      </c>
      <c r="C68" s="2">
        <v>45685</v>
      </c>
      <c r="D68" s="1" t="s">
        <v>82</v>
      </c>
      <c r="E68" s="1" t="s">
        <v>89</v>
      </c>
      <c r="F68">
        <v>904</v>
      </c>
      <c r="G68">
        <v>973</v>
      </c>
      <c r="H68">
        <v>63</v>
      </c>
      <c r="I68">
        <v>11752</v>
      </c>
      <c r="J68">
        <f>Posts[[#This Row],[Likes]]+Posts[[#This Row],[Shares]]+Posts[[#This Row],[Comments]]</f>
        <v>1940</v>
      </c>
      <c r="K68" s="10">
        <f>Posts[[#This Row],[Engagement]]/Posts[[#This Row],[Impressions]]</f>
        <v>0.1650782845473111</v>
      </c>
      <c r="L68">
        <v>11580</v>
      </c>
      <c r="M68">
        <v>84</v>
      </c>
      <c r="N68" s="1" t="s">
        <v>48</v>
      </c>
      <c r="O68" s="1" t="s">
        <v>15</v>
      </c>
    </row>
    <row r="69" spans="1:15" x14ac:dyDescent="0.35">
      <c r="A69" s="1" t="s">
        <v>138</v>
      </c>
      <c r="B69" s="1" t="s">
        <v>31</v>
      </c>
      <c r="C69" s="2">
        <v>45540</v>
      </c>
      <c r="D69" s="1" t="s">
        <v>82</v>
      </c>
      <c r="E69" s="1" t="s">
        <v>121</v>
      </c>
      <c r="F69">
        <v>4886</v>
      </c>
      <c r="G69">
        <v>983</v>
      </c>
      <c r="H69">
        <v>409</v>
      </c>
      <c r="I69">
        <v>43974</v>
      </c>
      <c r="J69">
        <f>Posts[[#This Row],[Likes]]+Posts[[#This Row],[Shares]]+Posts[[#This Row],[Comments]]</f>
        <v>6278</v>
      </c>
      <c r="K69" s="10">
        <f>Posts[[#This Row],[Engagement]]/Posts[[#This Row],[Impressions]]</f>
        <v>0.14276618001546368</v>
      </c>
      <c r="L69">
        <v>43239</v>
      </c>
      <c r="M69">
        <v>65</v>
      </c>
      <c r="N69" s="1" t="s">
        <v>52</v>
      </c>
      <c r="O69" s="1" t="s">
        <v>7</v>
      </c>
    </row>
    <row r="70" spans="1:15" x14ac:dyDescent="0.35">
      <c r="A70" s="1" t="s">
        <v>139</v>
      </c>
      <c r="B70" s="1" t="s">
        <v>31</v>
      </c>
      <c r="C70" s="2">
        <v>45618</v>
      </c>
      <c r="D70" s="1" t="s">
        <v>62</v>
      </c>
      <c r="E70" s="1" t="s">
        <v>65</v>
      </c>
      <c r="F70">
        <v>53</v>
      </c>
      <c r="G70">
        <v>81</v>
      </c>
      <c r="H70">
        <v>379</v>
      </c>
      <c r="I70">
        <v>954</v>
      </c>
      <c r="J70">
        <f>Posts[[#This Row],[Likes]]+Posts[[#This Row],[Shares]]+Posts[[#This Row],[Comments]]</f>
        <v>513</v>
      </c>
      <c r="K70" s="10">
        <f>Posts[[#This Row],[Engagement]]/Posts[[#This Row],[Impressions]]</f>
        <v>0.53773584905660377</v>
      </c>
      <c r="L70">
        <v>7</v>
      </c>
      <c r="M70">
        <v>148</v>
      </c>
      <c r="N70" s="1" t="s">
        <v>52</v>
      </c>
      <c r="O70" s="1" t="s">
        <v>15</v>
      </c>
    </row>
    <row r="71" spans="1:15" x14ac:dyDescent="0.35">
      <c r="A71" s="1" t="s">
        <v>140</v>
      </c>
      <c r="B71" s="1" t="s">
        <v>31</v>
      </c>
      <c r="C71" s="2">
        <v>45504</v>
      </c>
      <c r="D71" s="1" t="s">
        <v>62</v>
      </c>
      <c r="E71" s="1" t="s">
        <v>65</v>
      </c>
      <c r="F71">
        <v>4507</v>
      </c>
      <c r="G71">
        <v>217</v>
      </c>
      <c r="H71">
        <v>13</v>
      </c>
      <c r="I71">
        <v>90140</v>
      </c>
      <c r="J71">
        <f>Posts[[#This Row],[Likes]]+Posts[[#This Row],[Shares]]+Posts[[#This Row],[Comments]]</f>
        <v>4737</v>
      </c>
      <c r="K71" s="10">
        <f>Posts[[#This Row],[Engagement]]/Posts[[#This Row],[Impressions]]</f>
        <v>5.2551586421122697E-2</v>
      </c>
      <c r="L71">
        <v>89591</v>
      </c>
      <c r="M71">
        <v>125</v>
      </c>
      <c r="N71" s="1" t="s">
        <v>47</v>
      </c>
      <c r="O71" s="1" t="s">
        <v>15</v>
      </c>
    </row>
    <row r="72" spans="1:15" x14ac:dyDescent="0.35">
      <c r="A72" s="1" t="s">
        <v>141</v>
      </c>
      <c r="B72" s="1" t="s">
        <v>30</v>
      </c>
      <c r="C72" s="2">
        <v>45521</v>
      </c>
      <c r="D72" s="1" t="s">
        <v>67</v>
      </c>
      <c r="E72" s="1" t="s">
        <v>72</v>
      </c>
      <c r="F72">
        <v>2878</v>
      </c>
      <c r="G72">
        <v>248</v>
      </c>
      <c r="H72">
        <v>416</v>
      </c>
      <c r="I72">
        <v>43170</v>
      </c>
      <c r="J72">
        <f>Posts[[#This Row],[Likes]]+Posts[[#This Row],[Shares]]+Posts[[#This Row],[Comments]]</f>
        <v>3542</v>
      </c>
      <c r="K72" s="10">
        <f>Posts[[#This Row],[Engagement]]/Posts[[#This Row],[Impressions]]</f>
        <v>8.2047718322909427E-2</v>
      </c>
      <c r="L72">
        <v>42667</v>
      </c>
      <c r="M72">
        <v>75</v>
      </c>
      <c r="N72" s="1" t="s">
        <v>47</v>
      </c>
      <c r="O72" s="1" t="s">
        <v>15</v>
      </c>
    </row>
    <row r="73" spans="1:15" x14ac:dyDescent="0.35">
      <c r="A73" s="1" t="s">
        <v>142</v>
      </c>
      <c r="B73" s="1" t="s">
        <v>29</v>
      </c>
      <c r="C73" s="2">
        <v>45744</v>
      </c>
      <c r="D73" s="1" t="s">
        <v>57</v>
      </c>
      <c r="E73" s="1" t="s">
        <v>58</v>
      </c>
      <c r="F73">
        <v>1881</v>
      </c>
      <c r="G73">
        <v>501</v>
      </c>
      <c r="H73">
        <v>99</v>
      </c>
      <c r="I73">
        <v>20691</v>
      </c>
      <c r="J73">
        <f>Posts[[#This Row],[Likes]]+Posts[[#This Row],[Shares]]+Posts[[#This Row],[Comments]]</f>
        <v>2481</v>
      </c>
      <c r="K73" s="10">
        <f>Posts[[#This Row],[Engagement]]/Posts[[#This Row],[Impressions]]</f>
        <v>0.11990720603160794</v>
      </c>
      <c r="L73">
        <v>19987</v>
      </c>
      <c r="M73">
        <v>289</v>
      </c>
      <c r="N73" s="1" t="s">
        <v>59</v>
      </c>
      <c r="O73" s="1" t="s">
        <v>80</v>
      </c>
    </row>
    <row r="74" spans="1:15" x14ac:dyDescent="0.35">
      <c r="A74" s="1" t="s">
        <v>143</v>
      </c>
      <c r="B74" s="1" t="s">
        <v>31</v>
      </c>
      <c r="C74" s="2">
        <v>45499</v>
      </c>
      <c r="D74" s="1" t="s">
        <v>62</v>
      </c>
      <c r="E74" s="1" t="s">
        <v>65</v>
      </c>
      <c r="F74">
        <v>432</v>
      </c>
      <c r="G74">
        <v>171</v>
      </c>
      <c r="H74">
        <v>280</v>
      </c>
      <c r="I74">
        <v>3024</v>
      </c>
      <c r="J74">
        <f>Posts[[#This Row],[Likes]]+Posts[[#This Row],[Shares]]+Posts[[#This Row],[Comments]]</f>
        <v>883</v>
      </c>
      <c r="K74" s="10">
        <f>Posts[[#This Row],[Engagement]]/Posts[[#This Row],[Impressions]]</f>
        <v>0.29199735449735448</v>
      </c>
      <c r="L74">
        <v>2285</v>
      </c>
      <c r="M74">
        <v>184</v>
      </c>
      <c r="N74" s="1" t="s">
        <v>59</v>
      </c>
      <c r="O74" s="1" t="s">
        <v>7</v>
      </c>
    </row>
    <row r="75" spans="1:15" x14ac:dyDescent="0.35">
      <c r="A75" s="1" t="s">
        <v>144</v>
      </c>
      <c r="B75" s="1" t="s">
        <v>30</v>
      </c>
      <c r="C75" s="2">
        <v>45745</v>
      </c>
      <c r="D75" s="1" t="s">
        <v>62</v>
      </c>
      <c r="E75" s="1" t="s">
        <v>63</v>
      </c>
      <c r="F75">
        <v>4712</v>
      </c>
      <c r="G75">
        <v>568</v>
      </c>
      <c r="H75">
        <v>127</v>
      </c>
      <c r="I75">
        <v>84816</v>
      </c>
      <c r="J75">
        <f>Posts[[#This Row],[Likes]]+Posts[[#This Row],[Shares]]+Posts[[#This Row],[Comments]]</f>
        <v>5407</v>
      </c>
      <c r="K75" s="10">
        <f>Posts[[#This Row],[Engagement]]/Posts[[#This Row],[Impressions]]</f>
        <v>6.3749764195434822E-2</v>
      </c>
      <c r="L75">
        <v>84691</v>
      </c>
      <c r="M75">
        <v>100</v>
      </c>
      <c r="N75" s="1" t="s">
        <v>59</v>
      </c>
      <c r="O75" s="1" t="s">
        <v>15</v>
      </c>
    </row>
    <row r="76" spans="1:15" x14ac:dyDescent="0.35">
      <c r="A76" s="1" t="s">
        <v>145</v>
      </c>
      <c r="B76" s="1" t="s">
        <v>29</v>
      </c>
      <c r="C76" s="2">
        <v>45634</v>
      </c>
      <c r="D76" s="1" t="s">
        <v>57</v>
      </c>
      <c r="E76" s="1" t="s">
        <v>58</v>
      </c>
      <c r="F76">
        <v>2610</v>
      </c>
      <c r="G76">
        <v>126</v>
      </c>
      <c r="H76">
        <v>288</v>
      </c>
      <c r="I76">
        <v>15660</v>
      </c>
      <c r="J76">
        <f>Posts[[#This Row],[Likes]]+Posts[[#This Row],[Shares]]+Posts[[#This Row],[Comments]]</f>
        <v>3024</v>
      </c>
      <c r="K76" s="10">
        <f>Posts[[#This Row],[Engagement]]/Posts[[#This Row],[Impressions]]</f>
        <v>0.19310344827586207</v>
      </c>
      <c r="L76">
        <v>15145</v>
      </c>
      <c r="M76">
        <v>73</v>
      </c>
      <c r="N76" s="1" t="s">
        <v>59</v>
      </c>
      <c r="O76" s="1" t="s">
        <v>80</v>
      </c>
    </row>
    <row r="77" spans="1:15" x14ac:dyDescent="0.35">
      <c r="A77" s="1" t="s">
        <v>146</v>
      </c>
      <c r="B77" s="1" t="s">
        <v>31</v>
      </c>
      <c r="C77" s="2">
        <v>45724</v>
      </c>
      <c r="D77" s="1" t="s">
        <v>50</v>
      </c>
      <c r="E77" s="1" t="s">
        <v>51</v>
      </c>
      <c r="F77">
        <v>1292</v>
      </c>
      <c r="G77">
        <v>626</v>
      </c>
      <c r="H77">
        <v>496</v>
      </c>
      <c r="I77">
        <v>25840</v>
      </c>
      <c r="J77">
        <f>Posts[[#This Row],[Likes]]+Posts[[#This Row],[Shares]]+Posts[[#This Row],[Comments]]</f>
        <v>2414</v>
      </c>
      <c r="K77" s="10">
        <f>Posts[[#This Row],[Engagement]]/Posts[[#This Row],[Impressions]]</f>
        <v>9.3421052631578946E-2</v>
      </c>
      <c r="L77">
        <v>24916</v>
      </c>
      <c r="M77">
        <v>149</v>
      </c>
      <c r="N77" s="1" t="s">
        <v>47</v>
      </c>
      <c r="O77" s="1" t="s">
        <v>15</v>
      </c>
    </row>
    <row r="78" spans="1:15" x14ac:dyDescent="0.35">
      <c r="A78" s="1" t="s">
        <v>147</v>
      </c>
      <c r="B78" s="1" t="s">
        <v>30</v>
      </c>
      <c r="C78" s="2">
        <v>45749</v>
      </c>
      <c r="D78" s="1" t="s">
        <v>82</v>
      </c>
      <c r="E78" s="1" t="s">
        <v>83</v>
      </c>
      <c r="F78">
        <v>199</v>
      </c>
      <c r="G78">
        <v>772</v>
      </c>
      <c r="H78">
        <v>400</v>
      </c>
      <c r="I78">
        <v>3582</v>
      </c>
      <c r="J78">
        <f>Posts[[#This Row],[Likes]]+Posts[[#This Row],[Shares]]+Posts[[#This Row],[Comments]]</f>
        <v>1371</v>
      </c>
      <c r="K78" s="10">
        <f>Posts[[#This Row],[Engagement]]/Posts[[#This Row],[Impressions]]</f>
        <v>0.38274706867671693</v>
      </c>
      <c r="L78">
        <v>2988</v>
      </c>
      <c r="M78">
        <v>43</v>
      </c>
      <c r="N78" s="1" t="s">
        <v>52</v>
      </c>
      <c r="O78" s="1" t="s">
        <v>80</v>
      </c>
    </row>
    <row r="79" spans="1:15" x14ac:dyDescent="0.35">
      <c r="A79" s="1" t="s">
        <v>148</v>
      </c>
      <c r="B79" s="1" t="s">
        <v>32</v>
      </c>
      <c r="C79" s="2">
        <v>45537</v>
      </c>
      <c r="D79" s="1" t="s">
        <v>62</v>
      </c>
      <c r="E79" s="1" t="s">
        <v>77</v>
      </c>
      <c r="F79">
        <v>2551</v>
      </c>
      <c r="G79">
        <v>915</v>
      </c>
      <c r="H79">
        <v>205</v>
      </c>
      <c r="I79">
        <v>30612</v>
      </c>
      <c r="J79">
        <f>Posts[[#This Row],[Likes]]+Posts[[#This Row],[Shares]]+Posts[[#This Row],[Comments]]</f>
        <v>3671</v>
      </c>
      <c r="K79" s="10">
        <f>Posts[[#This Row],[Engagement]]/Posts[[#This Row],[Impressions]]</f>
        <v>0.1199202926956749</v>
      </c>
      <c r="L79">
        <v>30360</v>
      </c>
      <c r="M79">
        <v>227</v>
      </c>
      <c r="N79" s="1" t="s">
        <v>52</v>
      </c>
      <c r="O79" s="1" t="s">
        <v>11</v>
      </c>
    </row>
    <row r="80" spans="1:15" x14ac:dyDescent="0.35">
      <c r="A80" s="1" t="s">
        <v>149</v>
      </c>
      <c r="B80" s="1" t="s">
        <v>32</v>
      </c>
      <c r="C80" s="2">
        <v>45719</v>
      </c>
      <c r="D80" s="1" t="s">
        <v>45</v>
      </c>
      <c r="E80" s="1" t="s">
        <v>55</v>
      </c>
      <c r="F80">
        <v>296</v>
      </c>
      <c r="G80">
        <v>60</v>
      </c>
      <c r="H80">
        <v>141</v>
      </c>
      <c r="I80">
        <v>5624</v>
      </c>
      <c r="J80">
        <f>Posts[[#This Row],[Likes]]+Posts[[#This Row],[Shares]]+Posts[[#This Row],[Comments]]</f>
        <v>497</v>
      </c>
      <c r="K80" s="10">
        <f>Posts[[#This Row],[Engagement]]/Posts[[#This Row],[Impressions]]</f>
        <v>8.837126600284495E-2</v>
      </c>
      <c r="L80">
        <v>5239</v>
      </c>
      <c r="M80">
        <v>88</v>
      </c>
      <c r="N80" s="1" t="s">
        <v>59</v>
      </c>
      <c r="O80" s="1" t="s">
        <v>11</v>
      </c>
    </row>
    <row r="81" spans="1:15" x14ac:dyDescent="0.35">
      <c r="A81" s="1" t="s">
        <v>150</v>
      </c>
      <c r="B81" s="1" t="s">
        <v>30</v>
      </c>
      <c r="C81" s="2">
        <v>45583</v>
      </c>
      <c r="D81" s="1" t="s">
        <v>57</v>
      </c>
      <c r="E81" s="1" t="s">
        <v>79</v>
      </c>
      <c r="F81">
        <v>4126</v>
      </c>
      <c r="G81">
        <v>426</v>
      </c>
      <c r="H81">
        <v>486</v>
      </c>
      <c r="I81">
        <v>78394</v>
      </c>
      <c r="J81">
        <f>Posts[[#This Row],[Likes]]+Posts[[#This Row],[Shares]]+Posts[[#This Row],[Comments]]</f>
        <v>5038</v>
      </c>
      <c r="K81" s="10">
        <f>Posts[[#This Row],[Engagement]]/Posts[[#This Row],[Impressions]]</f>
        <v>6.4265122330790625E-2</v>
      </c>
      <c r="L81">
        <v>77798</v>
      </c>
      <c r="M81">
        <v>88</v>
      </c>
      <c r="N81" s="1" t="s">
        <v>47</v>
      </c>
      <c r="O81" s="1" t="s">
        <v>19</v>
      </c>
    </row>
    <row r="82" spans="1:15" x14ac:dyDescent="0.35">
      <c r="A82" s="1" t="s">
        <v>151</v>
      </c>
      <c r="B82" s="1" t="s">
        <v>32</v>
      </c>
      <c r="C82" s="2">
        <v>45593</v>
      </c>
      <c r="D82" s="1" t="s">
        <v>45</v>
      </c>
      <c r="E82" s="1" t="s">
        <v>55</v>
      </c>
      <c r="F82">
        <v>1855</v>
      </c>
      <c r="G82">
        <v>200</v>
      </c>
      <c r="H82">
        <v>174</v>
      </c>
      <c r="I82">
        <v>16695</v>
      </c>
      <c r="J82">
        <f>Posts[[#This Row],[Likes]]+Posts[[#This Row],[Shares]]+Posts[[#This Row],[Comments]]</f>
        <v>2229</v>
      </c>
      <c r="K82" s="10">
        <f>Posts[[#This Row],[Engagement]]/Posts[[#This Row],[Impressions]]</f>
        <v>0.13351302785265048</v>
      </c>
      <c r="L82">
        <v>16330</v>
      </c>
      <c r="M82">
        <v>123</v>
      </c>
      <c r="N82" s="1" t="s">
        <v>52</v>
      </c>
      <c r="O82" s="1" t="s">
        <v>15</v>
      </c>
    </row>
    <row r="83" spans="1:15" x14ac:dyDescent="0.35">
      <c r="A83" s="1" t="s">
        <v>152</v>
      </c>
      <c r="B83" s="1" t="s">
        <v>29</v>
      </c>
      <c r="C83" s="2">
        <v>45505</v>
      </c>
      <c r="D83" s="1" t="s">
        <v>45</v>
      </c>
      <c r="E83" s="1" t="s">
        <v>87</v>
      </c>
      <c r="F83">
        <v>1674</v>
      </c>
      <c r="G83">
        <v>929</v>
      </c>
      <c r="H83">
        <v>37</v>
      </c>
      <c r="I83">
        <v>21762</v>
      </c>
      <c r="J83">
        <f>Posts[[#This Row],[Likes]]+Posts[[#This Row],[Shares]]+Posts[[#This Row],[Comments]]</f>
        <v>2640</v>
      </c>
      <c r="K83" s="10">
        <f>Posts[[#This Row],[Engagement]]/Posts[[#This Row],[Impressions]]</f>
        <v>0.12131237937689551</v>
      </c>
      <c r="L83">
        <v>20998</v>
      </c>
      <c r="M83">
        <v>255</v>
      </c>
      <c r="N83" s="1" t="s">
        <v>52</v>
      </c>
      <c r="O83" s="1" t="s">
        <v>19</v>
      </c>
    </row>
    <row r="84" spans="1:15" x14ac:dyDescent="0.35">
      <c r="A84" s="1" t="s">
        <v>153</v>
      </c>
      <c r="B84" s="1" t="s">
        <v>31</v>
      </c>
      <c r="C84" s="2">
        <v>45603</v>
      </c>
      <c r="D84" s="1" t="s">
        <v>57</v>
      </c>
      <c r="E84" s="1" t="s">
        <v>124</v>
      </c>
      <c r="F84">
        <v>1121</v>
      </c>
      <c r="G84">
        <v>135</v>
      </c>
      <c r="H84">
        <v>18</v>
      </c>
      <c r="I84">
        <v>15694</v>
      </c>
      <c r="J84">
        <f>Posts[[#This Row],[Likes]]+Posts[[#This Row],[Shares]]+Posts[[#This Row],[Comments]]</f>
        <v>1274</v>
      </c>
      <c r="K84" s="10">
        <f>Posts[[#This Row],[Engagement]]/Posts[[#This Row],[Impressions]]</f>
        <v>8.1177520071364848E-2</v>
      </c>
      <c r="L84">
        <v>14957</v>
      </c>
      <c r="M84">
        <v>99</v>
      </c>
      <c r="N84" s="1" t="s">
        <v>52</v>
      </c>
      <c r="O84" s="1" t="s">
        <v>19</v>
      </c>
    </row>
    <row r="85" spans="1:15" x14ac:dyDescent="0.35">
      <c r="A85" s="1" t="s">
        <v>154</v>
      </c>
      <c r="B85" s="1" t="s">
        <v>30</v>
      </c>
      <c r="C85" s="2">
        <v>45720</v>
      </c>
      <c r="D85" s="1" t="s">
        <v>57</v>
      </c>
      <c r="E85" s="1" t="s">
        <v>79</v>
      </c>
      <c r="F85">
        <v>1249</v>
      </c>
      <c r="G85">
        <v>116</v>
      </c>
      <c r="H85">
        <v>420</v>
      </c>
      <c r="I85">
        <v>8743</v>
      </c>
      <c r="J85">
        <f>Posts[[#This Row],[Likes]]+Posts[[#This Row],[Shares]]+Posts[[#This Row],[Comments]]</f>
        <v>1785</v>
      </c>
      <c r="K85" s="10">
        <f>Posts[[#This Row],[Engagement]]/Posts[[#This Row],[Impressions]]</f>
        <v>0.20416333066453163</v>
      </c>
      <c r="L85">
        <v>8538</v>
      </c>
      <c r="M85">
        <v>63</v>
      </c>
      <c r="N85" s="1" t="s">
        <v>52</v>
      </c>
      <c r="O85" s="1" t="s">
        <v>80</v>
      </c>
    </row>
    <row r="86" spans="1:15" x14ac:dyDescent="0.35">
      <c r="A86" s="1" t="s">
        <v>155</v>
      </c>
      <c r="B86" s="1" t="s">
        <v>31</v>
      </c>
      <c r="C86" s="2">
        <v>45460</v>
      </c>
      <c r="D86" s="1" t="s">
        <v>67</v>
      </c>
      <c r="E86" s="1" t="s">
        <v>114</v>
      </c>
      <c r="F86">
        <v>954</v>
      </c>
      <c r="G86">
        <v>324</v>
      </c>
      <c r="H86">
        <v>288</v>
      </c>
      <c r="I86">
        <v>19080</v>
      </c>
      <c r="J86">
        <f>Posts[[#This Row],[Likes]]+Posts[[#This Row],[Shares]]+Posts[[#This Row],[Comments]]</f>
        <v>1566</v>
      </c>
      <c r="K86" s="10">
        <f>Posts[[#This Row],[Engagement]]/Posts[[#This Row],[Impressions]]</f>
        <v>8.2075471698113203E-2</v>
      </c>
      <c r="L86">
        <v>18859</v>
      </c>
      <c r="M86">
        <v>21</v>
      </c>
      <c r="N86" s="1" t="s">
        <v>47</v>
      </c>
      <c r="O86" s="1" t="s">
        <v>19</v>
      </c>
    </row>
    <row r="87" spans="1:15" x14ac:dyDescent="0.35">
      <c r="A87" s="1" t="s">
        <v>156</v>
      </c>
      <c r="B87" s="1" t="s">
        <v>29</v>
      </c>
      <c r="C87" s="2">
        <v>45574</v>
      </c>
      <c r="D87" s="1" t="s">
        <v>62</v>
      </c>
      <c r="E87" s="1" t="s">
        <v>91</v>
      </c>
      <c r="F87">
        <v>3068</v>
      </c>
      <c r="G87">
        <v>137</v>
      </c>
      <c r="H87">
        <v>329</v>
      </c>
      <c r="I87">
        <v>39884</v>
      </c>
      <c r="J87">
        <f>Posts[[#This Row],[Likes]]+Posts[[#This Row],[Shares]]+Posts[[#This Row],[Comments]]</f>
        <v>3534</v>
      </c>
      <c r="K87" s="10">
        <f>Posts[[#This Row],[Engagement]]/Posts[[#This Row],[Impressions]]</f>
        <v>8.860696018453515E-2</v>
      </c>
      <c r="L87">
        <v>39404</v>
      </c>
      <c r="M87">
        <v>266</v>
      </c>
      <c r="N87" s="1" t="s">
        <v>59</v>
      </c>
      <c r="O87" s="1" t="s">
        <v>11</v>
      </c>
    </row>
    <row r="88" spans="1:15" x14ac:dyDescent="0.35">
      <c r="A88" s="1" t="s">
        <v>157</v>
      </c>
      <c r="B88" s="1" t="s">
        <v>29</v>
      </c>
      <c r="C88" s="2">
        <v>45456</v>
      </c>
      <c r="D88" s="1" t="s">
        <v>57</v>
      </c>
      <c r="E88" s="1" t="s">
        <v>58</v>
      </c>
      <c r="F88">
        <v>2103</v>
      </c>
      <c r="G88">
        <v>892</v>
      </c>
      <c r="H88">
        <v>103</v>
      </c>
      <c r="I88">
        <v>39957</v>
      </c>
      <c r="J88">
        <f>Posts[[#This Row],[Likes]]+Posts[[#This Row],[Shares]]+Posts[[#This Row],[Comments]]</f>
        <v>3098</v>
      </c>
      <c r="K88" s="10">
        <f>Posts[[#This Row],[Engagement]]/Posts[[#This Row],[Impressions]]</f>
        <v>7.7533348349475686E-2</v>
      </c>
      <c r="L88">
        <v>39466</v>
      </c>
      <c r="M88">
        <v>28</v>
      </c>
      <c r="N88" s="1" t="s">
        <v>47</v>
      </c>
      <c r="O88" s="1" t="s">
        <v>80</v>
      </c>
    </row>
    <row r="89" spans="1:15" x14ac:dyDescent="0.35">
      <c r="A89" s="1" t="s">
        <v>158</v>
      </c>
      <c r="B89" s="1" t="s">
        <v>29</v>
      </c>
      <c r="C89" s="2">
        <v>45584</v>
      </c>
      <c r="D89" s="1" t="s">
        <v>57</v>
      </c>
      <c r="E89" s="1" t="s">
        <v>58</v>
      </c>
      <c r="F89">
        <v>1816</v>
      </c>
      <c r="G89">
        <v>29</v>
      </c>
      <c r="H89">
        <v>41</v>
      </c>
      <c r="I89">
        <v>19976</v>
      </c>
      <c r="J89">
        <f>Posts[[#This Row],[Likes]]+Posts[[#This Row],[Shares]]+Posts[[#This Row],[Comments]]</f>
        <v>1886</v>
      </c>
      <c r="K89" s="10">
        <f>Posts[[#This Row],[Engagement]]/Posts[[#This Row],[Impressions]]</f>
        <v>9.4413295955146179E-2</v>
      </c>
      <c r="L89">
        <v>19262</v>
      </c>
      <c r="M89">
        <v>283</v>
      </c>
      <c r="N89" s="1" t="s">
        <v>52</v>
      </c>
      <c r="O89" s="1" t="s">
        <v>15</v>
      </c>
    </row>
    <row r="90" spans="1:15" x14ac:dyDescent="0.35">
      <c r="A90" s="1" t="s">
        <v>159</v>
      </c>
      <c r="B90" s="1" t="s">
        <v>29</v>
      </c>
      <c r="C90" s="2">
        <v>45497</v>
      </c>
      <c r="D90" s="1" t="s">
        <v>67</v>
      </c>
      <c r="E90" s="1" t="s">
        <v>160</v>
      </c>
      <c r="F90">
        <v>725</v>
      </c>
      <c r="G90">
        <v>88</v>
      </c>
      <c r="H90">
        <v>428</v>
      </c>
      <c r="I90">
        <v>14500</v>
      </c>
      <c r="J90">
        <f>Posts[[#This Row],[Likes]]+Posts[[#This Row],[Shares]]+Posts[[#This Row],[Comments]]</f>
        <v>1241</v>
      </c>
      <c r="K90" s="10">
        <f>Posts[[#This Row],[Engagement]]/Posts[[#This Row],[Impressions]]</f>
        <v>8.558620689655172E-2</v>
      </c>
      <c r="L90">
        <v>13637</v>
      </c>
      <c r="M90">
        <v>200</v>
      </c>
      <c r="N90" s="1" t="s">
        <v>47</v>
      </c>
      <c r="O90" s="1" t="s">
        <v>15</v>
      </c>
    </row>
    <row r="91" spans="1:15" x14ac:dyDescent="0.35">
      <c r="A91" s="1" t="s">
        <v>159</v>
      </c>
      <c r="B91" s="1" t="s">
        <v>29</v>
      </c>
      <c r="C91" s="2">
        <v>45497</v>
      </c>
      <c r="D91" s="1" t="s">
        <v>67</v>
      </c>
      <c r="E91" s="1" t="s">
        <v>160</v>
      </c>
      <c r="F91">
        <v>725</v>
      </c>
      <c r="G91">
        <v>88</v>
      </c>
      <c r="H91">
        <v>428</v>
      </c>
      <c r="I91">
        <v>14500</v>
      </c>
      <c r="J91">
        <f>Posts[[#This Row],[Likes]]+Posts[[#This Row],[Shares]]+Posts[[#This Row],[Comments]]</f>
        <v>1241</v>
      </c>
      <c r="K91" s="10">
        <f>Posts[[#This Row],[Engagement]]/Posts[[#This Row],[Impressions]]</f>
        <v>8.558620689655172E-2</v>
      </c>
      <c r="L91">
        <v>13637</v>
      </c>
      <c r="M91">
        <v>200</v>
      </c>
      <c r="N91" s="1" t="s">
        <v>52</v>
      </c>
      <c r="O91" s="1" t="s">
        <v>15</v>
      </c>
    </row>
    <row r="92" spans="1:15" x14ac:dyDescent="0.35">
      <c r="A92" s="1" t="s">
        <v>159</v>
      </c>
      <c r="B92" s="1" t="s">
        <v>29</v>
      </c>
      <c r="C92" s="2">
        <v>45497</v>
      </c>
      <c r="D92" s="1" t="s">
        <v>67</v>
      </c>
      <c r="E92" s="1" t="s">
        <v>160</v>
      </c>
      <c r="F92">
        <v>725</v>
      </c>
      <c r="G92">
        <v>88</v>
      </c>
      <c r="H92">
        <v>428</v>
      </c>
      <c r="I92">
        <v>14500</v>
      </c>
      <c r="J92">
        <f>Posts[[#This Row],[Likes]]+Posts[[#This Row],[Shares]]+Posts[[#This Row],[Comments]]</f>
        <v>1241</v>
      </c>
      <c r="K92" s="10">
        <f>Posts[[#This Row],[Engagement]]/Posts[[#This Row],[Impressions]]</f>
        <v>8.558620689655172E-2</v>
      </c>
      <c r="L92">
        <v>13637</v>
      </c>
      <c r="M92">
        <v>200</v>
      </c>
      <c r="N92" s="1" t="s">
        <v>48</v>
      </c>
      <c r="O92" s="1" t="s">
        <v>15</v>
      </c>
    </row>
    <row r="93" spans="1:15" x14ac:dyDescent="0.35">
      <c r="A93" s="1" t="s">
        <v>161</v>
      </c>
      <c r="B93" s="1" t="s">
        <v>32</v>
      </c>
      <c r="C93" s="2">
        <v>45580</v>
      </c>
      <c r="D93" s="1" t="s">
        <v>82</v>
      </c>
      <c r="E93" s="1" t="s">
        <v>162</v>
      </c>
      <c r="F93">
        <v>1094</v>
      </c>
      <c r="G93">
        <v>472</v>
      </c>
      <c r="H93">
        <v>21</v>
      </c>
      <c r="I93">
        <v>9846</v>
      </c>
      <c r="J93">
        <f>Posts[[#This Row],[Likes]]+Posts[[#This Row],[Shares]]+Posts[[#This Row],[Comments]]</f>
        <v>1587</v>
      </c>
      <c r="K93" s="10">
        <f>Posts[[#This Row],[Engagement]]/Posts[[#This Row],[Impressions]]</f>
        <v>0.16118220597196831</v>
      </c>
      <c r="L93">
        <v>9609</v>
      </c>
      <c r="M93">
        <v>112</v>
      </c>
      <c r="N93" s="1" t="s">
        <v>59</v>
      </c>
      <c r="O93" s="1" t="s">
        <v>80</v>
      </c>
    </row>
    <row r="94" spans="1:15" x14ac:dyDescent="0.35">
      <c r="A94" s="1" t="s">
        <v>163</v>
      </c>
      <c r="B94" s="1" t="s">
        <v>30</v>
      </c>
      <c r="C94" s="2">
        <v>45635</v>
      </c>
      <c r="D94" s="1" t="s">
        <v>67</v>
      </c>
      <c r="E94" s="1" t="s">
        <v>72</v>
      </c>
      <c r="F94">
        <v>1841</v>
      </c>
      <c r="G94">
        <v>851</v>
      </c>
      <c r="H94">
        <v>342</v>
      </c>
      <c r="I94">
        <v>34979</v>
      </c>
      <c r="J94">
        <f>Posts[[#This Row],[Likes]]+Posts[[#This Row],[Shares]]+Posts[[#This Row],[Comments]]</f>
        <v>3034</v>
      </c>
      <c r="K94" s="10">
        <f>Posts[[#This Row],[Engagement]]/Posts[[#This Row],[Impressions]]</f>
        <v>8.6737756939878216E-2</v>
      </c>
      <c r="L94">
        <v>34154</v>
      </c>
      <c r="M94">
        <v>255</v>
      </c>
      <c r="N94" s="1" t="s">
        <v>47</v>
      </c>
      <c r="O94" s="1" t="s">
        <v>19</v>
      </c>
    </row>
    <row r="95" spans="1:15" x14ac:dyDescent="0.35">
      <c r="A95" s="1" t="s">
        <v>164</v>
      </c>
      <c r="B95" s="1" t="s">
        <v>29</v>
      </c>
      <c r="C95" s="2">
        <v>45766</v>
      </c>
      <c r="D95" s="1" t="s">
        <v>67</v>
      </c>
      <c r="E95" s="1" t="s">
        <v>160</v>
      </c>
      <c r="F95">
        <v>4177</v>
      </c>
      <c r="G95">
        <v>569</v>
      </c>
      <c r="H95">
        <v>55</v>
      </c>
      <c r="I95">
        <v>25062</v>
      </c>
      <c r="J95">
        <f>Posts[[#This Row],[Likes]]+Posts[[#This Row],[Shares]]+Posts[[#This Row],[Comments]]</f>
        <v>4801</v>
      </c>
      <c r="K95" s="10">
        <f>Posts[[#This Row],[Engagement]]/Posts[[#This Row],[Impressions]]</f>
        <v>0.19156491900087783</v>
      </c>
      <c r="L95">
        <v>24847</v>
      </c>
      <c r="M95">
        <v>230</v>
      </c>
      <c r="N95" s="1" t="s">
        <v>47</v>
      </c>
      <c r="O95" s="1" t="s">
        <v>7</v>
      </c>
    </row>
    <row r="96" spans="1:15" x14ac:dyDescent="0.35">
      <c r="A96" s="1" t="s">
        <v>165</v>
      </c>
      <c r="B96" s="1" t="s">
        <v>32</v>
      </c>
      <c r="C96" s="2">
        <v>45684</v>
      </c>
      <c r="D96" s="1" t="s">
        <v>50</v>
      </c>
      <c r="E96" s="1" t="s">
        <v>99</v>
      </c>
      <c r="F96">
        <v>3428</v>
      </c>
      <c r="G96">
        <v>305</v>
      </c>
      <c r="H96">
        <v>85</v>
      </c>
      <c r="I96">
        <v>58276</v>
      </c>
      <c r="J96">
        <f>Posts[[#This Row],[Likes]]+Posts[[#This Row],[Shares]]+Posts[[#This Row],[Comments]]</f>
        <v>3818</v>
      </c>
      <c r="K96" s="10">
        <f>Posts[[#This Row],[Engagement]]/Posts[[#This Row],[Impressions]]</f>
        <v>6.5515821264328367E-2</v>
      </c>
      <c r="L96">
        <v>58052</v>
      </c>
      <c r="M96">
        <v>242</v>
      </c>
      <c r="N96" s="1" t="s">
        <v>59</v>
      </c>
      <c r="O96" s="1" t="s">
        <v>19</v>
      </c>
    </row>
    <row r="97" spans="1:15" x14ac:dyDescent="0.35">
      <c r="A97" s="1" t="s">
        <v>165</v>
      </c>
      <c r="B97" s="1" t="s">
        <v>32</v>
      </c>
      <c r="C97" s="2">
        <v>45684</v>
      </c>
      <c r="D97" s="1" t="s">
        <v>50</v>
      </c>
      <c r="E97" s="1" t="s">
        <v>99</v>
      </c>
      <c r="F97">
        <v>3428</v>
      </c>
      <c r="G97">
        <v>305</v>
      </c>
      <c r="H97">
        <v>85</v>
      </c>
      <c r="I97">
        <v>58276</v>
      </c>
      <c r="J97">
        <f>Posts[[#This Row],[Likes]]+Posts[[#This Row],[Shares]]+Posts[[#This Row],[Comments]]</f>
        <v>3818</v>
      </c>
      <c r="K97" s="10">
        <f>Posts[[#This Row],[Engagement]]/Posts[[#This Row],[Impressions]]</f>
        <v>6.5515821264328367E-2</v>
      </c>
      <c r="L97">
        <v>58052</v>
      </c>
      <c r="M97">
        <v>242</v>
      </c>
      <c r="N97" s="1" t="s">
        <v>53</v>
      </c>
      <c r="O97" s="1" t="s">
        <v>19</v>
      </c>
    </row>
    <row r="98" spans="1:15" x14ac:dyDescent="0.35">
      <c r="A98" s="1" t="s">
        <v>166</v>
      </c>
      <c r="B98" s="1" t="s">
        <v>31</v>
      </c>
      <c r="C98" s="2">
        <v>45449</v>
      </c>
      <c r="D98" s="1" t="s">
        <v>82</v>
      </c>
      <c r="E98" s="1" t="s">
        <v>121</v>
      </c>
      <c r="F98">
        <v>1436</v>
      </c>
      <c r="G98">
        <v>765</v>
      </c>
      <c r="H98">
        <v>496</v>
      </c>
      <c r="I98">
        <v>12924</v>
      </c>
      <c r="J98">
        <f>Posts[[#This Row],[Likes]]+Posts[[#This Row],[Shares]]+Posts[[#This Row],[Comments]]</f>
        <v>2697</v>
      </c>
      <c r="K98" s="10">
        <f>Posts[[#This Row],[Engagement]]/Posts[[#This Row],[Impressions]]</f>
        <v>0.20868152274837512</v>
      </c>
      <c r="L98">
        <v>12701</v>
      </c>
      <c r="M98">
        <v>197</v>
      </c>
      <c r="N98" s="1" t="s">
        <v>47</v>
      </c>
      <c r="O98" s="1" t="s">
        <v>15</v>
      </c>
    </row>
    <row r="99" spans="1:15" x14ac:dyDescent="0.35">
      <c r="A99" s="1" t="s">
        <v>167</v>
      </c>
      <c r="B99" s="1" t="s">
        <v>30</v>
      </c>
      <c r="C99" s="2">
        <v>45480</v>
      </c>
      <c r="D99" s="1" t="s">
        <v>57</v>
      </c>
      <c r="E99" s="1" t="s">
        <v>79</v>
      </c>
      <c r="F99">
        <v>302</v>
      </c>
      <c r="G99">
        <v>47</v>
      </c>
      <c r="H99">
        <v>430</v>
      </c>
      <c r="I99">
        <v>5738</v>
      </c>
      <c r="J99">
        <f>Posts[[#This Row],[Likes]]+Posts[[#This Row],[Shares]]+Posts[[#This Row],[Comments]]</f>
        <v>779</v>
      </c>
      <c r="K99" s="10">
        <f>Posts[[#This Row],[Engagement]]/Posts[[#This Row],[Impressions]]</f>
        <v>0.13576158940397351</v>
      </c>
      <c r="L99">
        <v>4890</v>
      </c>
      <c r="M99">
        <v>25</v>
      </c>
      <c r="N99" s="1" t="s">
        <v>52</v>
      </c>
      <c r="O99" s="1" t="s">
        <v>19</v>
      </c>
    </row>
    <row r="100" spans="1:15" x14ac:dyDescent="0.35">
      <c r="A100" s="1" t="s">
        <v>168</v>
      </c>
      <c r="B100" s="1" t="s">
        <v>31</v>
      </c>
      <c r="C100" s="2">
        <v>45667</v>
      </c>
      <c r="D100" s="1" t="s">
        <v>67</v>
      </c>
      <c r="E100" s="1" t="s">
        <v>114</v>
      </c>
      <c r="F100">
        <v>2214</v>
      </c>
      <c r="G100">
        <v>249</v>
      </c>
      <c r="H100">
        <v>152</v>
      </c>
      <c r="I100">
        <v>15498</v>
      </c>
      <c r="J100">
        <f>Posts[[#This Row],[Likes]]+Posts[[#This Row],[Shares]]+Posts[[#This Row],[Comments]]</f>
        <v>2615</v>
      </c>
      <c r="K100" s="10">
        <f>Posts[[#This Row],[Engagement]]/Posts[[#This Row],[Impressions]]</f>
        <v>0.16873144921925409</v>
      </c>
      <c r="L100">
        <v>14800</v>
      </c>
      <c r="M100">
        <v>180</v>
      </c>
      <c r="N100" s="1" t="s">
        <v>59</v>
      </c>
      <c r="O100" s="1" t="s">
        <v>80</v>
      </c>
    </row>
    <row r="101" spans="1:15" x14ac:dyDescent="0.35">
      <c r="A101" s="1" t="s">
        <v>169</v>
      </c>
      <c r="B101" s="1" t="s">
        <v>29</v>
      </c>
      <c r="C101" s="2">
        <v>45446</v>
      </c>
      <c r="D101" s="1" t="s">
        <v>67</v>
      </c>
      <c r="E101" s="1" t="s">
        <v>160</v>
      </c>
      <c r="F101">
        <v>3861</v>
      </c>
      <c r="G101">
        <v>960</v>
      </c>
      <c r="H101">
        <v>101</v>
      </c>
      <c r="I101">
        <v>69498</v>
      </c>
      <c r="J101">
        <f>Posts[[#This Row],[Likes]]+Posts[[#This Row],[Shares]]+Posts[[#This Row],[Comments]]</f>
        <v>4922</v>
      </c>
      <c r="K101" s="10">
        <f>Posts[[#This Row],[Engagement]]/Posts[[#This Row],[Impressions]]</f>
        <v>7.0822181933293038E-2</v>
      </c>
      <c r="L101">
        <v>68817</v>
      </c>
      <c r="M101">
        <v>297</v>
      </c>
      <c r="N101" s="1" t="s">
        <v>52</v>
      </c>
      <c r="O101" s="1" t="s">
        <v>19</v>
      </c>
    </row>
    <row r="102" spans="1:15" x14ac:dyDescent="0.35">
      <c r="A102" s="1" t="s">
        <v>170</v>
      </c>
      <c r="B102" s="1" t="s">
        <v>30</v>
      </c>
      <c r="C102" s="2">
        <v>45740</v>
      </c>
      <c r="D102" s="1" t="s">
        <v>67</v>
      </c>
      <c r="E102" s="1" t="s">
        <v>72</v>
      </c>
      <c r="F102">
        <v>1263</v>
      </c>
      <c r="G102">
        <v>397</v>
      </c>
      <c r="H102">
        <v>357</v>
      </c>
      <c r="I102">
        <v>25260</v>
      </c>
      <c r="J102">
        <f>Posts[[#This Row],[Likes]]+Posts[[#This Row],[Shares]]+Posts[[#This Row],[Comments]]</f>
        <v>2017</v>
      </c>
      <c r="K102" s="10">
        <f>Posts[[#This Row],[Engagement]]/Posts[[#This Row],[Impressions]]</f>
        <v>7.984956452889945E-2</v>
      </c>
      <c r="L102">
        <v>24615</v>
      </c>
      <c r="M102">
        <v>137</v>
      </c>
      <c r="N102" s="1" t="s">
        <v>59</v>
      </c>
      <c r="O102" s="1" t="s">
        <v>19</v>
      </c>
    </row>
    <row r="103" spans="1:15" x14ac:dyDescent="0.35">
      <c r="A103" s="1" t="s">
        <v>171</v>
      </c>
      <c r="B103" s="1" t="s">
        <v>31</v>
      </c>
      <c r="C103" s="2">
        <v>45586</v>
      </c>
      <c r="D103" s="1" t="s">
        <v>57</v>
      </c>
      <c r="E103" s="1" t="s">
        <v>124</v>
      </c>
      <c r="F103">
        <v>3801</v>
      </c>
      <c r="G103">
        <v>967</v>
      </c>
      <c r="H103">
        <v>401</v>
      </c>
      <c r="I103">
        <v>38010</v>
      </c>
      <c r="J103">
        <f>Posts[[#This Row],[Likes]]+Posts[[#This Row],[Shares]]+Posts[[#This Row],[Comments]]</f>
        <v>5169</v>
      </c>
      <c r="K103" s="10">
        <f>Posts[[#This Row],[Engagement]]/Posts[[#This Row],[Impressions]]</f>
        <v>0.13599052880820836</v>
      </c>
      <c r="L103">
        <v>37625</v>
      </c>
      <c r="M103">
        <v>236</v>
      </c>
      <c r="N103" s="1" t="s">
        <v>47</v>
      </c>
      <c r="O103" s="1" t="s">
        <v>15</v>
      </c>
    </row>
    <row r="104" spans="1:15" x14ac:dyDescent="0.35">
      <c r="A104" s="1" t="s">
        <v>172</v>
      </c>
      <c r="B104" s="1" t="s">
        <v>29</v>
      </c>
      <c r="C104" s="2">
        <v>45637</v>
      </c>
      <c r="D104" s="1" t="s">
        <v>82</v>
      </c>
      <c r="E104" s="1" t="s">
        <v>89</v>
      </c>
      <c r="F104">
        <v>1431</v>
      </c>
      <c r="G104">
        <v>951</v>
      </c>
      <c r="H104">
        <v>26</v>
      </c>
      <c r="I104">
        <v>8586</v>
      </c>
      <c r="J104">
        <f>Posts[[#This Row],[Likes]]+Posts[[#This Row],[Shares]]+Posts[[#This Row],[Comments]]</f>
        <v>2408</v>
      </c>
      <c r="K104" s="10">
        <f>Posts[[#This Row],[Engagement]]/Posts[[#This Row],[Impressions]]</f>
        <v>0.28045655718611695</v>
      </c>
      <c r="L104">
        <v>8396</v>
      </c>
      <c r="M104">
        <v>150</v>
      </c>
      <c r="N104" s="1" t="s">
        <v>59</v>
      </c>
      <c r="O104" s="1" t="s">
        <v>15</v>
      </c>
    </row>
    <row r="105" spans="1:15" x14ac:dyDescent="0.35">
      <c r="A105" s="1" t="s">
        <v>173</v>
      </c>
      <c r="B105" s="1" t="s">
        <v>29</v>
      </c>
      <c r="C105" s="2">
        <v>45603</v>
      </c>
      <c r="D105" s="1" t="s">
        <v>67</v>
      </c>
      <c r="E105" s="1" t="s">
        <v>160</v>
      </c>
      <c r="F105">
        <v>2647</v>
      </c>
      <c r="G105">
        <v>304</v>
      </c>
      <c r="H105">
        <v>170</v>
      </c>
      <c r="I105">
        <v>18529</v>
      </c>
      <c r="J105">
        <f>Posts[[#This Row],[Likes]]+Posts[[#This Row],[Shares]]+Posts[[#This Row],[Comments]]</f>
        <v>3121</v>
      </c>
      <c r="K105" s="10">
        <f>Posts[[#This Row],[Engagement]]/Posts[[#This Row],[Impressions]]</f>
        <v>0.16843866371633656</v>
      </c>
      <c r="L105">
        <v>17841</v>
      </c>
      <c r="M105">
        <v>46</v>
      </c>
      <c r="N105" s="1" t="s">
        <v>47</v>
      </c>
      <c r="O105" s="1" t="s">
        <v>15</v>
      </c>
    </row>
    <row r="106" spans="1:15" x14ac:dyDescent="0.35">
      <c r="A106" s="1" t="s">
        <v>174</v>
      </c>
      <c r="B106" s="1" t="s">
        <v>29</v>
      </c>
      <c r="C106" s="2">
        <v>45604</v>
      </c>
      <c r="D106" s="1" t="s">
        <v>50</v>
      </c>
      <c r="E106" s="1" t="s">
        <v>104</v>
      </c>
      <c r="F106">
        <v>3182</v>
      </c>
      <c r="G106">
        <v>559</v>
      </c>
      <c r="H106">
        <v>160</v>
      </c>
      <c r="I106">
        <v>57276</v>
      </c>
      <c r="J106">
        <f>Posts[[#This Row],[Likes]]+Posts[[#This Row],[Shares]]+Posts[[#This Row],[Comments]]</f>
        <v>3901</v>
      </c>
      <c r="K106" s="10">
        <f>Posts[[#This Row],[Engagement]]/Posts[[#This Row],[Impressions]]</f>
        <v>6.8108806480899509E-2</v>
      </c>
      <c r="L106">
        <v>56890</v>
      </c>
      <c r="M106">
        <v>163</v>
      </c>
      <c r="N106" s="1" t="s">
        <v>47</v>
      </c>
      <c r="O106" s="1" t="s">
        <v>19</v>
      </c>
    </row>
    <row r="107" spans="1:15" x14ac:dyDescent="0.35">
      <c r="A107" s="1" t="s">
        <v>175</v>
      </c>
      <c r="B107" s="1" t="s">
        <v>31</v>
      </c>
      <c r="C107" s="2">
        <v>45545</v>
      </c>
      <c r="D107" s="1" t="s">
        <v>67</v>
      </c>
      <c r="E107" s="1" t="s">
        <v>114</v>
      </c>
      <c r="F107">
        <v>1238</v>
      </c>
      <c r="G107">
        <v>366</v>
      </c>
      <c r="H107">
        <v>444</v>
      </c>
      <c r="I107">
        <v>19808</v>
      </c>
      <c r="J107">
        <f>Posts[[#This Row],[Likes]]+Posts[[#This Row],[Shares]]+Posts[[#This Row],[Comments]]</f>
        <v>2048</v>
      </c>
      <c r="K107" s="10">
        <f>Posts[[#This Row],[Engagement]]/Posts[[#This Row],[Impressions]]</f>
        <v>0.10339256865912763</v>
      </c>
      <c r="L107">
        <v>19334</v>
      </c>
      <c r="M107">
        <v>123</v>
      </c>
      <c r="N107" s="1" t="s">
        <v>47</v>
      </c>
      <c r="O107" s="1" t="s">
        <v>80</v>
      </c>
    </row>
    <row r="108" spans="1:15" x14ac:dyDescent="0.35">
      <c r="A108" s="1" t="s">
        <v>176</v>
      </c>
      <c r="B108" s="1" t="s">
        <v>29</v>
      </c>
      <c r="C108" s="2">
        <v>45517</v>
      </c>
      <c r="D108" s="1" t="s">
        <v>67</v>
      </c>
      <c r="E108" s="1" t="s">
        <v>160</v>
      </c>
      <c r="F108">
        <v>4739</v>
      </c>
      <c r="G108">
        <v>527</v>
      </c>
      <c r="H108">
        <v>135</v>
      </c>
      <c r="I108">
        <v>61607</v>
      </c>
      <c r="J108">
        <f>Posts[[#This Row],[Likes]]+Posts[[#This Row],[Shares]]+Posts[[#This Row],[Comments]]</f>
        <v>5401</v>
      </c>
      <c r="K108" s="10">
        <f>Posts[[#This Row],[Engagement]]/Posts[[#This Row],[Impressions]]</f>
        <v>8.7668609086629767E-2</v>
      </c>
      <c r="L108">
        <v>61333</v>
      </c>
      <c r="M108">
        <v>36</v>
      </c>
      <c r="N108" s="1" t="s">
        <v>52</v>
      </c>
      <c r="O108" s="1" t="s">
        <v>11</v>
      </c>
    </row>
    <row r="109" spans="1:15" x14ac:dyDescent="0.35">
      <c r="A109" s="1" t="s">
        <v>176</v>
      </c>
      <c r="B109" s="1" t="s">
        <v>29</v>
      </c>
      <c r="C109" s="2">
        <v>45517</v>
      </c>
      <c r="D109" s="1" t="s">
        <v>67</v>
      </c>
      <c r="E109" s="1" t="s">
        <v>160</v>
      </c>
      <c r="F109">
        <v>4739</v>
      </c>
      <c r="G109">
        <v>527</v>
      </c>
      <c r="H109">
        <v>135</v>
      </c>
      <c r="I109">
        <v>61607</v>
      </c>
      <c r="J109">
        <f>Posts[[#This Row],[Likes]]+Posts[[#This Row],[Shares]]+Posts[[#This Row],[Comments]]</f>
        <v>5401</v>
      </c>
      <c r="K109" s="10">
        <f>Posts[[#This Row],[Engagement]]/Posts[[#This Row],[Impressions]]</f>
        <v>8.7668609086629767E-2</v>
      </c>
      <c r="L109">
        <v>61333</v>
      </c>
      <c r="M109">
        <v>36</v>
      </c>
      <c r="N109" s="1" t="s">
        <v>48</v>
      </c>
      <c r="O109" s="1" t="s">
        <v>11</v>
      </c>
    </row>
    <row r="110" spans="1:15" x14ac:dyDescent="0.35">
      <c r="A110" s="1" t="s">
        <v>177</v>
      </c>
      <c r="B110" s="1" t="s">
        <v>31</v>
      </c>
      <c r="C110" s="2">
        <v>45453</v>
      </c>
      <c r="D110" s="1" t="s">
        <v>57</v>
      </c>
      <c r="E110" s="1" t="s">
        <v>124</v>
      </c>
      <c r="F110">
        <v>1575</v>
      </c>
      <c r="G110">
        <v>771</v>
      </c>
      <c r="H110">
        <v>486</v>
      </c>
      <c r="I110">
        <v>25200</v>
      </c>
      <c r="J110">
        <f>Posts[[#This Row],[Likes]]+Posts[[#This Row],[Shares]]+Posts[[#This Row],[Comments]]</f>
        <v>2832</v>
      </c>
      <c r="K110" s="10">
        <f>Posts[[#This Row],[Engagement]]/Posts[[#This Row],[Impressions]]</f>
        <v>0.11238095238095239</v>
      </c>
      <c r="L110">
        <v>24826</v>
      </c>
      <c r="M110">
        <v>17</v>
      </c>
      <c r="N110" s="1" t="s">
        <v>47</v>
      </c>
      <c r="O110" s="1" t="s">
        <v>19</v>
      </c>
    </row>
    <row r="111" spans="1:15" x14ac:dyDescent="0.35">
      <c r="A111" s="1" t="s">
        <v>178</v>
      </c>
      <c r="B111" s="1" t="s">
        <v>32</v>
      </c>
      <c r="C111" s="2">
        <v>45475</v>
      </c>
      <c r="D111" s="1" t="s">
        <v>62</v>
      </c>
      <c r="E111" s="1" t="s">
        <v>77</v>
      </c>
      <c r="F111">
        <v>4171</v>
      </c>
      <c r="G111">
        <v>548</v>
      </c>
      <c r="H111">
        <v>86</v>
      </c>
      <c r="I111">
        <v>66736</v>
      </c>
      <c r="J111">
        <f>Posts[[#This Row],[Likes]]+Posts[[#This Row],[Shares]]+Posts[[#This Row],[Comments]]</f>
        <v>4805</v>
      </c>
      <c r="K111" s="10">
        <f>Posts[[#This Row],[Engagement]]/Posts[[#This Row],[Impressions]]</f>
        <v>7.2000119875329657E-2</v>
      </c>
      <c r="L111">
        <v>66634</v>
      </c>
      <c r="M111">
        <v>173</v>
      </c>
      <c r="N111" s="1" t="s">
        <v>47</v>
      </c>
      <c r="O111" s="1" t="s">
        <v>15</v>
      </c>
    </row>
    <row r="112" spans="1:15" x14ac:dyDescent="0.35">
      <c r="A112" s="1" t="s">
        <v>179</v>
      </c>
      <c r="B112" s="1" t="s">
        <v>32</v>
      </c>
      <c r="C112" s="2">
        <v>45698</v>
      </c>
      <c r="D112" s="1" t="s">
        <v>82</v>
      </c>
      <c r="E112" s="1" t="s">
        <v>162</v>
      </c>
      <c r="F112">
        <v>1766</v>
      </c>
      <c r="G112">
        <v>92</v>
      </c>
      <c r="H112">
        <v>424</v>
      </c>
      <c r="I112">
        <v>24724</v>
      </c>
      <c r="J112">
        <f>Posts[[#This Row],[Likes]]+Posts[[#This Row],[Shares]]+Posts[[#This Row],[Comments]]</f>
        <v>2282</v>
      </c>
      <c r="K112" s="10">
        <f>Posts[[#This Row],[Engagement]]/Posts[[#This Row],[Impressions]]</f>
        <v>9.2298980747451867E-2</v>
      </c>
      <c r="L112">
        <v>24333</v>
      </c>
      <c r="M112">
        <v>52</v>
      </c>
      <c r="N112" s="1" t="s">
        <v>59</v>
      </c>
      <c r="O112" s="1" t="s">
        <v>80</v>
      </c>
    </row>
    <row r="113" spans="1:15" x14ac:dyDescent="0.35">
      <c r="A113" s="1" t="s">
        <v>180</v>
      </c>
      <c r="B113" s="1" t="s">
        <v>32</v>
      </c>
      <c r="C113" s="2">
        <v>45583</v>
      </c>
      <c r="D113" s="1" t="s">
        <v>82</v>
      </c>
      <c r="E113" s="1" t="s">
        <v>162</v>
      </c>
      <c r="F113">
        <v>4450</v>
      </c>
      <c r="G113">
        <v>983</v>
      </c>
      <c r="H113">
        <v>143</v>
      </c>
      <c r="I113">
        <v>75650</v>
      </c>
      <c r="J113">
        <f>Posts[[#This Row],[Likes]]+Posts[[#This Row],[Shares]]+Posts[[#This Row],[Comments]]</f>
        <v>5576</v>
      </c>
      <c r="K113" s="10">
        <f>Posts[[#This Row],[Engagement]]/Posts[[#This Row],[Impressions]]</f>
        <v>7.3707865168539333E-2</v>
      </c>
      <c r="L113">
        <v>75008</v>
      </c>
      <c r="M113">
        <v>12</v>
      </c>
      <c r="N113" s="1" t="s">
        <v>47</v>
      </c>
      <c r="O113" s="1" t="s">
        <v>15</v>
      </c>
    </row>
    <row r="114" spans="1:15" x14ac:dyDescent="0.35">
      <c r="A114" s="1" t="s">
        <v>181</v>
      </c>
      <c r="B114" s="1" t="s">
        <v>31</v>
      </c>
      <c r="C114" s="2">
        <v>45553</v>
      </c>
      <c r="D114" s="1" t="s">
        <v>45</v>
      </c>
      <c r="E114" s="1" t="s">
        <v>46</v>
      </c>
      <c r="F114">
        <v>1000</v>
      </c>
      <c r="G114">
        <v>978</v>
      </c>
      <c r="H114">
        <v>162</v>
      </c>
      <c r="I114">
        <v>6000</v>
      </c>
      <c r="J114">
        <f>Posts[[#This Row],[Likes]]+Posts[[#This Row],[Shares]]+Posts[[#This Row],[Comments]]</f>
        <v>2140</v>
      </c>
      <c r="K114" s="10">
        <f>Posts[[#This Row],[Engagement]]/Posts[[#This Row],[Impressions]]</f>
        <v>0.35666666666666669</v>
      </c>
      <c r="L114">
        <v>5221</v>
      </c>
      <c r="M114">
        <v>223</v>
      </c>
      <c r="N114" s="1" t="s">
        <v>59</v>
      </c>
      <c r="O114" s="1" t="s">
        <v>11</v>
      </c>
    </row>
    <row r="115" spans="1:15" x14ac:dyDescent="0.35">
      <c r="A115" s="1" t="s">
        <v>182</v>
      </c>
      <c r="B115" s="1" t="s">
        <v>30</v>
      </c>
      <c r="C115" s="2">
        <v>45454</v>
      </c>
      <c r="D115" s="1" t="s">
        <v>67</v>
      </c>
      <c r="E115" s="1" t="s">
        <v>72</v>
      </c>
      <c r="F115">
        <v>3689</v>
      </c>
      <c r="G115">
        <v>48</v>
      </c>
      <c r="H115">
        <v>306</v>
      </c>
      <c r="I115">
        <v>40579</v>
      </c>
      <c r="J115">
        <f>Posts[[#This Row],[Likes]]+Posts[[#This Row],[Shares]]+Posts[[#This Row],[Comments]]</f>
        <v>4043</v>
      </c>
      <c r="K115" s="10">
        <f>Posts[[#This Row],[Engagement]]/Posts[[#This Row],[Impressions]]</f>
        <v>9.9632815002833983E-2</v>
      </c>
      <c r="L115">
        <v>39588</v>
      </c>
      <c r="M115">
        <v>212</v>
      </c>
      <c r="N115" s="1" t="s">
        <v>59</v>
      </c>
      <c r="O115" s="1" t="s">
        <v>11</v>
      </c>
    </row>
    <row r="116" spans="1:15" x14ac:dyDescent="0.35">
      <c r="A116" s="1" t="s">
        <v>183</v>
      </c>
      <c r="B116" s="1" t="s">
        <v>32</v>
      </c>
      <c r="C116" s="2">
        <v>45739</v>
      </c>
      <c r="D116" s="1" t="s">
        <v>57</v>
      </c>
      <c r="E116" s="1" t="s">
        <v>127</v>
      </c>
      <c r="F116">
        <v>3655</v>
      </c>
      <c r="G116">
        <v>568</v>
      </c>
      <c r="H116">
        <v>286</v>
      </c>
      <c r="I116">
        <v>32895</v>
      </c>
      <c r="J116">
        <f>Posts[[#This Row],[Likes]]+Posts[[#This Row],[Shares]]+Posts[[#This Row],[Comments]]</f>
        <v>4509</v>
      </c>
      <c r="K116" s="10">
        <f>Posts[[#This Row],[Engagement]]/Posts[[#This Row],[Impressions]]</f>
        <v>0.13707250341997265</v>
      </c>
      <c r="L116">
        <v>32015</v>
      </c>
      <c r="M116">
        <v>199</v>
      </c>
      <c r="N116" s="1" t="s">
        <v>52</v>
      </c>
      <c r="O116" s="1" t="s">
        <v>15</v>
      </c>
    </row>
    <row r="117" spans="1:15" x14ac:dyDescent="0.35">
      <c r="A117" s="1" t="s">
        <v>184</v>
      </c>
      <c r="B117" s="1" t="s">
        <v>29</v>
      </c>
      <c r="C117" s="2">
        <v>45457</v>
      </c>
      <c r="D117" s="1" t="s">
        <v>62</v>
      </c>
      <c r="E117" s="1" t="s">
        <v>91</v>
      </c>
      <c r="F117">
        <v>498</v>
      </c>
      <c r="G117">
        <v>38</v>
      </c>
      <c r="H117">
        <v>42</v>
      </c>
      <c r="I117">
        <v>4482</v>
      </c>
      <c r="J117">
        <f>Posts[[#This Row],[Likes]]+Posts[[#This Row],[Shares]]+Posts[[#This Row],[Comments]]</f>
        <v>578</v>
      </c>
      <c r="K117" s="10">
        <f>Posts[[#This Row],[Engagement]]/Posts[[#This Row],[Impressions]]</f>
        <v>0.12896028558679162</v>
      </c>
      <c r="L117">
        <v>3647</v>
      </c>
      <c r="M117">
        <v>32</v>
      </c>
      <c r="N117" s="1" t="s">
        <v>47</v>
      </c>
      <c r="O117" s="1" t="s">
        <v>7</v>
      </c>
    </row>
    <row r="118" spans="1:15" x14ac:dyDescent="0.35">
      <c r="A118" s="1" t="s">
        <v>185</v>
      </c>
      <c r="B118" s="1" t="s">
        <v>29</v>
      </c>
      <c r="C118" s="2">
        <v>45692</v>
      </c>
      <c r="D118" s="1" t="s">
        <v>67</v>
      </c>
      <c r="E118" s="1" t="s">
        <v>160</v>
      </c>
      <c r="F118">
        <v>4619</v>
      </c>
      <c r="G118">
        <v>821</v>
      </c>
      <c r="H118">
        <v>499</v>
      </c>
      <c r="I118">
        <v>69285</v>
      </c>
      <c r="J118">
        <f>Posts[[#This Row],[Likes]]+Posts[[#This Row],[Shares]]+Posts[[#This Row],[Comments]]</f>
        <v>5939</v>
      </c>
      <c r="K118" s="10">
        <f>Posts[[#This Row],[Engagement]]/Posts[[#This Row],[Impressions]]</f>
        <v>8.5718409468138843E-2</v>
      </c>
      <c r="L118">
        <v>69141</v>
      </c>
      <c r="M118">
        <v>298</v>
      </c>
      <c r="N118" s="1" t="s">
        <v>52</v>
      </c>
      <c r="O118" s="1" t="s">
        <v>19</v>
      </c>
    </row>
    <row r="119" spans="1:15" x14ac:dyDescent="0.35">
      <c r="A119" s="1" t="s">
        <v>186</v>
      </c>
      <c r="B119" s="1" t="s">
        <v>32</v>
      </c>
      <c r="C119" s="2">
        <v>45464</v>
      </c>
      <c r="D119" s="1" t="s">
        <v>67</v>
      </c>
      <c r="E119" s="1" t="s">
        <v>68</v>
      </c>
      <c r="F119">
        <v>4832</v>
      </c>
      <c r="G119">
        <v>893</v>
      </c>
      <c r="H119">
        <v>10</v>
      </c>
      <c r="I119">
        <v>91808</v>
      </c>
      <c r="J119">
        <f>Posts[[#This Row],[Likes]]+Posts[[#This Row],[Shares]]+Posts[[#This Row],[Comments]]</f>
        <v>5735</v>
      </c>
      <c r="K119" s="10">
        <f>Posts[[#This Row],[Engagement]]/Posts[[#This Row],[Impressions]]</f>
        <v>6.2467323109097243E-2</v>
      </c>
      <c r="L119">
        <v>91296</v>
      </c>
      <c r="M119">
        <v>182</v>
      </c>
      <c r="N119" s="1" t="s">
        <v>52</v>
      </c>
      <c r="O119" s="1" t="s">
        <v>80</v>
      </c>
    </row>
    <row r="120" spans="1:15" x14ac:dyDescent="0.35">
      <c r="A120" s="1" t="s">
        <v>187</v>
      </c>
      <c r="B120" s="1" t="s">
        <v>31</v>
      </c>
      <c r="C120" s="2">
        <v>45741</v>
      </c>
      <c r="D120" s="1" t="s">
        <v>82</v>
      </c>
      <c r="E120" s="1" t="s">
        <v>121</v>
      </c>
      <c r="F120">
        <v>4050</v>
      </c>
      <c r="G120">
        <v>871</v>
      </c>
      <c r="H120">
        <v>347</v>
      </c>
      <c r="I120">
        <v>52650</v>
      </c>
      <c r="J120">
        <f>Posts[[#This Row],[Likes]]+Posts[[#This Row],[Shares]]+Posts[[#This Row],[Comments]]</f>
        <v>5268</v>
      </c>
      <c r="K120" s="10">
        <f>Posts[[#This Row],[Engagement]]/Posts[[#This Row],[Impressions]]</f>
        <v>0.10005698005698006</v>
      </c>
      <c r="L120">
        <v>51755</v>
      </c>
      <c r="M120">
        <v>209</v>
      </c>
      <c r="N120" s="1" t="s">
        <v>52</v>
      </c>
      <c r="O120" s="1" t="s">
        <v>11</v>
      </c>
    </row>
    <row r="121" spans="1:15" x14ac:dyDescent="0.35">
      <c r="A121" s="1" t="s">
        <v>188</v>
      </c>
      <c r="B121" s="1" t="s">
        <v>31</v>
      </c>
      <c r="C121" s="2">
        <v>45512</v>
      </c>
      <c r="D121" s="1" t="s">
        <v>57</v>
      </c>
      <c r="E121" s="1" t="s">
        <v>124</v>
      </c>
      <c r="F121">
        <v>3649</v>
      </c>
      <c r="G121">
        <v>215</v>
      </c>
      <c r="H121">
        <v>413</v>
      </c>
      <c r="I121">
        <v>25543</v>
      </c>
      <c r="J121">
        <f>Posts[[#This Row],[Likes]]+Posts[[#This Row],[Shares]]+Posts[[#This Row],[Comments]]</f>
        <v>4277</v>
      </c>
      <c r="K121" s="10">
        <f>Posts[[#This Row],[Engagement]]/Posts[[#This Row],[Impressions]]</f>
        <v>0.16744313510550835</v>
      </c>
      <c r="L121">
        <v>24963</v>
      </c>
      <c r="M121">
        <v>167</v>
      </c>
      <c r="N121" s="1" t="s">
        <v>47</v>
      </c>
      <c r="O121" s="1" t="s">
        <v>15</v>
      </c>
    </row>
    <row r="122" spans="1:15" x14ac:dyDescent="0.35">
      <c r="A122" s="1" t="s">
        <v>189</v>
      </c>
      <c r="B122" s="1" t="s">
        <v>29</v>
      </c>
      <c r="C122" s="2">
        <v>45502</v>
      </c>
      <c r="D122" s="1" t="s">
        <v>45</v>
      </c>
      <c r="E122" s="1" t="s">
        <v>87</v>
      </c>
      <c r="F122">
        <v>3523</v>
      </c>
      <c r="G122">
        <v>753</v>
      </c>
      <c r="H122">
        <v>482</v>
      </c>
      <c r="I122">
        <v>38753</v>
      </c>
      <c r="J122">
        <f>Posts[[#This Row],[Likes]]+Posts[[#This Row],[Shares]]+Posts[[#This Row],[Comments]]</f>
        <v>4758</v>
      </c>
      <c r="K122" s="10">
        <f>Posts[[#This Row],[Engagement]]/Posts[[#This Row],[Impressions]]</f>
        <v>0.12277759141227776</v>
      </c>
      <c r="L122">
        <v>38579</v>
      </c>
      <c r="M122">
        <v>270</v>
      </c>
      <c r="N122" s="1" t="s">
        <v>59</v>
      </c>
      <c r="O122" s="1" t="s">
        <v>11</v>
      </c>
    </row>
    <row r="123" spans="1:15" x14ac:dyDescent="0.35">
      <c r="A123" s="1" t="s">
        <v>190</v>
      </c>
      <c r="B123" s="1" t="s">
        <v>32</v>
      </c>
      <c r="C123" s="2">
        <v>45619</v>
      </c>
      <c r="D123" s="1" t="s">
        <v>67</v>
      </c>
      <c r="E123" s="1" t="s">
        <v>68</v>
      </c>
      <c r="F123">
        <v>2719</v>
      </c>
      <c r="G123">
        <v>17</v>
      </c>
      <c r="H123">
        <v>285</v>
      </c>
      <c r="I123">
        <v>40785</v>
      </c>
      <c r="J123">
        <f>Posts[[#This Row],[Likes]]+Posts[[#This Row],[Shares]]+Posts[[#This Row],[Comments]]</f>
        <v>3021</v>
      </c>
      <c r="K123" s="10">
        <f>Posts[[#This Row],[Engagement]]/Posts[[#This Row],[Impressions]]</f>
        <v>7.4071349760941527E-2</v>
      </c>
      <c r="L123">
        <v>40281</v>
      </c>
      <c r="M123">
        <v>40</v>
      </c>
      <c r="N123" s="1" t="s">
        <v>52</v>
      </c>
      <c r="O123" s="1" t="s">
        <v>11</v>
      </c>
    </row>
    <row r="124" spans="1:15" x14ac:dyDescent="0.35">
      <c r="A124" s="1" t="s">
        <v>191</v>
      </c>
      <c r="B124" s="1" t="s">
        <v>31</v>
      </c>
      <c r="C124" s="2">
        <v>45570</v>
      </c>
      <c r="D124" s="1" t="s">
        <v>57</v>
      </c>
      <c r="E124" s="1" t="s">
        <v>124</v>
      </c>
      <c r="F124">
        <v>1957</v>
      </c>
      <c r="G124">
        <v>877</v>
      </c>
      <c r="H124">
        <v>238</v>
      </c>
      <c r="I124">
        <v>17613</v>
      </c>
      <c r="J124">
        <f>Posts[[#This Row],[Likes]]+Posts[[#This Row],[Shares]]+Posts[[#This Row],[Comments]]</f>
        <v>3072</v>
      </c>
      <c r="K124" s="10">
        <f>Posts[[#This Row],[Engagement]]/Posts[[#This Row],[Impressions]]</f>
        <v>0.17441662408448305</v>
      </c>
      <c r="L124">
        <v>16865</v>
      </c>
      <c r="M124">
        <v>297</v>
      </c>
      <c r="N124" s="1" t="s">
        <v>47</v>
      </c>
      <c r="O124" s="1" t="s">
        <v>15</v>
      </c>
    </row>
    <row r="125" spans="1:15" x14ac:dyDescent="0.35">
      <c r="A125" s="1" t="s">
        <v>192</v>
      </c>
      <c r="B125" s="1" t="s">
        <v>31</v>
      </c>
      <c r="C125" s="2">
        <v>45567</v>
      </c>
      <c r="D125" s="1" t="s">
        <v>62</v>
      </c>
      <c r="E125" s="1" t="s">
        <v>65</v>
      </c>
      <c r="F125">
        <v>4419</v>
      </c>
      <c r="G125">
        <v>236</v>
      </c>
      <c r="H125">
        <v>369</v>
      </c>
      <c r="I125">
        <v>44190</v>
      </c>
      <c r="J125">
        <f>Posts[[#This Row],[Likes]]+Posts[[#This Row],[Shares]]+Posts[[#This Row],[Comments]]</f>
        <v>5024</v>
      </c>
      <c r="K125" s="10">
        <f>Posts[[#This Row],[Engagement]]/Posts[[#This Row],[Impressions]]</f>
        <v>0.11369088028965829</v>
      </c>
      <c r="L125">
        <v>43582</v>
      </c>
      <c r="M125">
        <v>10</v>
      </c>
      <c r="N125" s="1" t="s">
        <v>59</v>
      </c>
      <c r="O125" s="1" t="s">
        <v>7</v>
      </c>
    </row>
    <row r="126" spans="1:15" x14ac:dyDescent="0.35">
      <c r="A126" s="1" t="s">
        <v>193</v>
      </c>
      <c r="B126" s="1" t="s">
        <v>31</v>
      </c>
      <c r="C126" s="2">
        <v>45610</v>
      </c>
      <c r="D126" s="1" t="s">
        <v>57</v>
      </c>
      <c r="E126" s="1" t="s">
        <v>124</v>
      </c>
      <c r="F126">
        <v>4000</v>
      </c>
      <c r="G126">
        <v>689</v>
      </c>
      <c r="H126">
        <v>488</v>
      </c>
      <c r="I126">
        <v>40000</v>
      </c>
      <c r="J126">
        <f>Posts[[#This Row],[Likes]]+Posts[[#This Row],[Shares]]+Posts[[#This Row],[Comments]]</f>
        <v>5177</v>
      </c>
      <c r="K126" s="10">
        <f>Posts[[#This Row],[Engagement]]/Posts[[#This Row],[Impressions]]</f>
        <v>0.12942500000000001</v>
      </c>
      <c r="L126">
        <v>39569</v>
      </c>
      <c r="M126">
        <v>44</v>
      </c>
      <c r="N126" s="1" t="s">
        <v>47</v>
      </c>
      <c r="O126" s="1" t="s">
        <v>7</v>
      </c>
    </row>
    <row r="127" spans="1:15" x14ac:dyDescent="0.35">
      <c r="A127" s="1" t="s">
        <v>194</v>
      </c>
      <c r="B127" s="1" t="s">
        <v>31</v>
      </c>
      <c r="C127" s="2">
        <v>45788</v>
      </c>
      <c r="D127" s="1" t="s">
        <v>67</v>
      </c>
      <c r="E127" s="1" t="s">
        <v>114</v>
      </c>
      <c r="F127">
        <v>2493</v>
      </c>
      <c r="G127">
        <v>97</v>
      </c>
      <c r="H127">
        <v>44</v>
      </c>
      <c r="I127">
        <v>42381</v>
      </c>
      <c r="J127">
        <f>Posts[[#This Row],[Likes]]+Posts[[#This Row],[Shares]]+Posts[[#This Row],[Comments]]</f>
        <v>2634</v>
      </c>
      <c r="K127" s="10">
        <f>Posts[[#This Row],[Engagement]]/Posts[[#This Row],[Impressions]]</f>
        <v>6.2150491965739366E-2</v>
      </c>
      <c r="L127">
        <v>41991</v>
      </c>
      <c r="M127">
        <v>242</v>
      </c>
      <c r="N127" s="1" t="s">
        <v>52</v>
      </c>
      <c r="O127" s="1" t="s">
        <v>19</v>
      </c>
    </row>
    <row r="128" spans="1:15" x14ac:dyDescent="0.35">
      <c r="A128" s="1" t="s">
        <v>194</v>
      </c>
      <c r="B128" s="1" t="s">
        <v>31</v>
      </c>
      <c r="C128" s="2">
        <v>45788</v>
      </c>
      <c r="D128" s="1" t="s">
        <v>67</v>
      </c>
      <c r="E128" s="1" t="s">
        <v>114</v>
      </c>
      <c r="F128">
        <v>2493</v>
      </c>
      <c r="G128">
        <v>97</v>
      </c>
      <c r="H128">
        <v>44</v>
      </c>
      <c r="I128">
        <v>42381</v>
      </c>
      <c r="J128">
        <f>Posts[[#This Row],[Likes]]+Posts[[#This Row],[Shares]]+Posts[[#This Row],[Comments]]</f>
        <v>2634</v>
      </c>
      <c r="K128" s="10">
        <f>Posts[[#This Row],[Engagement]]/Posts[[#This Row],[Impressions]]</f>
        <v>6.2150491965739366E-2</v>
      </c>
      <c r="L128">
        <v>41991</v>
      </c>
      <c r="M128">
        <v>242</v>
      </c>
      <c r="N128" s="1" t="s">
        <v>48</v>
      </c>
      <c r="O128" s="1" t="s">
        <v>19</v>
      </c>
    </row>
    <row r="129" spans="1:15" x14ac:dyDescent="0.35">
      <c r="A129" s="1" t="s">
        <v>195</v>
      </c>
      <c r="B129" s="1" t="s">
        <v>32</v>
      </c>
      <c r="C129" s="2">
        <v>45734</v>
      </c>
      <c r="D129" s="1" t="s">
        <v>45</v>
      </c>
      <c r="E129" s="1" t="s">
        <v>55</v>
      </c>
      <c r="F129">
        <v>3704</v>
      </c>
      <c r="G129">
        <v>186</v>
      </c>
      <c r="H129">
        <v>458</v>
      </c>
      <c r="I129">
        <v>25928</v>
      </c>
      <c r="J129">
        <f>Posts[[#This Row],[Likes]]+Posts[[#This Row],[Shares]]+Posts[[#This Row],[Comments]]</f>
        <v>4348</v>
      </c>
      <c r="K129" s="10">
        <f>Posts[[#This Row],[Engagement]]/Posts[[#This Row],[Impressions]]</f>
        <v>0.16769515581610614</v>
      </c>
      <c r="L129">
        <v>25081</v>
      </c>
      <c r="M129">
        <v>131</v>
      </c>
      <c r="N129" s="1" t="s">
        <v>52</v>
      </c>
      <c r="O129" s="1" t="s">
        <v>80</v>
      </c>
    </row>
    <row r="130" spans="1:15" x14ac:dyDescent="0.35">
      <c r="A130" s="1" t="s">
        <v>196</v>
      </c>
      <c r="B130" s="1" t="s">
        <v>31</v>
      </c>
      <c r="C130" s="2">
        <v>45600</v>
      </c>
      <c r="D130" s="1" t="s">
        <v>67</v>
      </c>
      <c r="E130" s="1" t="s">
        <v>114</v>
      </c>
      <c r="F130">
        <v>1606</v>
      </c>
      <c r="G130">
        <v>451</v>
      </c>
      <c r="H130">
        <v>405</v>
      </c>
      <c r="I130">
        <v>20878</v>
      </c>
      <c r="J130">
        <f>Posts[[#This Row],[Likes]]+Posts[[#This Row],[Shares]]+Posts[[#This Row],[Comments]]</f>
        <v>2462</v>
      </c>
      <c r="K130" s="10">
        <f>Posts[[#This Row],[Engagement]]/Posts[[#This Row],[Impressions]]</f>
        <v>0.11792317271769326</v>
      </c>
      <c r="L130">
        <v>20190</v>
      </c>
      <c r="M130">
        <v>219</v>
      </c>
      <c r="N130" s="1" t="s">
        <v>59</v>
      </c>
      <c r="O130" s="1" t="s">
        <v>19</v>
      </c>
    </row>
    <row r="131" spans="1:15" x14ac:dyDescent="0.35">
      <c r="A131" s="1" t="s">
        <v>197</v>
      </c>
      <c r="B131" s="1" t="s">
        <v>30</v>
      </c>
      <c r="C131" s="2">
        <v>45600</v>
      </c>
      <c r="D131" s="1" t="s">
        <v>67</v>
      </c>
      <c r="E131" s="1" t="s">
        <v>72</v>
      </c>
      <c r="F131">
        <v>4551</v>
      </c>
      <c r="G131">
        <v>714</v>
      </c>
      <c r="H131">
        <v>207</v>
      </c>
      <c r="I131">
        <v>68265</v>
      </c>
      <c r="J131">
        <f>Posts[[#This Row],[Likes]]+Posts[[#This Row],[Shares]]+Posts[[#This Row],[Comments]]</f>
        <v>5472</v>
      </c>
      <c r="K131" s="10">
        <f>Posts[[#This Row],[Engagement]]/Posts[[#This Row],[Impressions]]</f>
        <v>8.0158206987475278E-2</v>
      </c>
      <c r="L131">
        <v>67754</v>
      </c>
      <c r="M131">
        <v>57</v>
      </c>
      <c r="N131" s="1" t="s">
        <v>47</v>
      </c>
      <c r="O131" s="1" t="s">
        <v>15</v>
      </c>
    </row>
    <row r="132" spans="1:15" x14ac:dyDescent="0.35">
      <c r="A132" s="1" t="s">
        <v>198</v>
      </c>
      <c r="B132" s="1" t="s">
        <v>29</v>
      </c>
      <c r="C132" s="2">
        <v>45695</v>
      </c>
      <c r="D132" s="1" t="s">
        <v>45</v>
      </c>
      <c r="E132" s="1" t="s">
        <v>87</v>
      </c>
      <c r="F132">
        <v>1970</v>
      </c>
      <c r="G132">
        <v>675</v>
      </c>
      <c r="H132">
        <v>478</v>
      </c>
      <c r="I132">
        <v>9850</v>
      </c>
      <c r="J132">
        <f>Posts[[#This Row],[Likes]]+Posts[[#This Row],[Shares]]+Posts[[#This Row],[Comments]]</f>
        <v>3123</v>
      </c>
      <c r="K132" s="10">
        <f>Posts[[#This Row],[Engagement]]/Posts[[#This Row],[Impressions]]</f>
        <v>0.31705583756345179</v>
      </c>
      <c r="L132">
        <v>8924</v>
      </c>
      <c r="M132">
        <v>117</v>
      </c>
      <c r="N132" s="1" t="s">
        <v>47</v>
      </c>
      <c r="O132" s="1" t="s">
        <v>80</v>
      </c>
    </row>
    <row r="133" spans="1:15" x14ac:dyDescent="0.35">
      <c r="A133" s="1" t="s">
        <v>199</v>
      </c>
      <c r="B133" s="1" t="s">
        <v>30</v>
      </c>
      <c r="C133" s="2">
        <v>45586</v>
      </c>
      <c r="D133" s="1" t="s">
        <v>57</v>
      </c>
      <c r="E133" s="1" t="s">
        <v>79</v>
      </c>
      <c r="F133">
        <v>780</v>
      </c>
      <c r="G133">
        <v>928</v>
      </c>
      <c r="H133">
        <v>301</v>
      </c>
      <c r="I133">
        <v>8580</v>
      </c>
      <c r="J133">
        <f>Posts[[#This Row],[Likes]]+Posts[[#This Row],[Shares]]+Posts[[#This Row],[Comments]]</f>
        <v>2009</v>
      </c>
      <c r="K133" s="10">
        <f>Posts[[#This Row],[Engagement]]/Posts[[#This Row],[Impressions]]</f>
        <v>0.23414918414918415</v>
      </c>
      <c r="L133">
        <v>8081</v>
      </c>
      <c r="M133">
        <v>91</v>
      </c>
      <c r="N133" s="1" t="s">
        <v>59</v>
      </c>
      <c r="O133" s="1" t="s">
        <v>15</v>
      </c>
    </row>
    <row r="134" spans="1:15" x14ac:dyDescent="0.35">
      <c r="A134" s="1" t="s">
        <v>200</v>
      </c>
      <c r="B134" s="1" t="s">
        <v>29</v>
      </c>
      <c r="C134" s="2">
        <v>45502</v>
      </c>
      <c r="D134" s="1" t="s">
        <v>57</v>
      </c>
      <c r="E134" s="1" t="s">
        <v>58</v>
      </c>
      <c r="F134">
        <v>498</v>
      </c>
      <c r="G134">
        <v>701</v>
      </c>
      <c r="H134">
        <v>412</v>
      </c>
      <c r="I134">
        <v>4980</v>
      </c>
      <c r="J134">
        <f>Posts[[#This Row],[Likes]]+Posts[[#This Row],[Shares]]+Posts[[#This Row],[Comments]]</f>
        <v>1611</v>
      </c>
      <c r="K134" s="10">
        <f>Posts[[#This Row],[Engagement]]/Posts[[#This Row],[Impressions]]</f>
        <v>0.32349397590361445</v>
      </c>
      <c r="L134">
        <v>4185</v>
      </c>
      <c r="M134">
        <v>185</v>
      </c>
      <c r="N134" s="1" t="s">
        <v>47</v>
      </c>
      <c r="O134" s="1" t="s">
        <v>80</v>
      </c>
    </row>
    <row r="135" spans="1:15" x14ac:dyDescent="0.35">
      <c r="A135" s="1" t="s">
        <v>201</v>
      </c>
      <c r="B135" s="1" t="s">
        <v>29</v>
      </c>
      <c r="C135" s="2">
        <v>45567</v>
      </c>
      <c r="D135" s="1" t="s">
        <v>50</v>
      </c>
      <c r="E135" s="1" t="s">
        <v>104</v>
      </c>
      <c r="F135">
        <v>3432</v>
      </c>
      <c r="G135">
        <v>869</v>
      </c>
      <c r="H135">
        <v>123</v>
      </c>
      <c r="I135">
        <v>54912</v>
      </c>
      <c r="J135">
        <f>Posts[[#This Row],[Likes]]+Posts[[#This Row],[Shares]]+Posts[[#This Row],[Comments]]</f>
        <v>4424</v>
      </c>
      <c r="K135" s="10">
        <f>Posts[[#This Row],[Engagement]]/Posts[[#This Row],[Impressions]]</f>
        <v>8.0565268065268064E-2</v>
      </c>
      <c r="L135">
        <v>53916</v>
      </c>
      <c r="M135">
        <v>264</v>
      </c>
      <c r="N135" s="1" t="s">
        <v>59</v>
      </c>
      <c r="O135" s="1" t="s">
        <v>11</v>
      </c>
    </row>
    <row r="136" spans="1:15" x14ac:dyDescent="0.35">
      <c r="A136" s="1" t="s">
        <v>202</v>
      </c>
      <c r="B136" s="1" t="s">
        <v>29</v>
      </c>
      <c r="C136" s="2">
        <v>45457</v>
      </c>
      <c r="D136" s="1" t="s">
        <v>57</v>
      </c>
      <c r="E136" s="1" t="s">
        <v>58</v>
      </c>
      <c r="F136">
        <v>4363</v>
      </c>
      <c r="G136">
        <v>649</v>
      </c>
      <c r="H136">
        <v>140</v>
      </c>
      <c r="I136">
        <v>21815</v>
      </c>
      <c r="J136">
        <f>Posts[[#This Row],[Likes]]+Posts[[#This Row],[Shares]]+Posts[[#This Row],[Comments]]</f>
        <v>5152</v>
      </c>
      <c r="K136" s="10">
        <f>Posts[[#This Row],[Engagement]]/Posts[[#This Row],[Impressions]]</f>
        <v>0.23616777446710979</v>
      </c>
      <c r="L136">
        <v>21481</v>
      </c>
      <c r="M136">
        <v>157</v>
      </c>
      <c r="N136" s="1" t="s">
        <v>59</v>
      </c>
      <c r="O136" s="1" t="s">
        <v>7</v>
      </c>
    </row>
    <row r="137" spans="1:15" x14ac:dyDescent="0.35">
      <c r="A137" s="1" t="s">
        <v>203</v>
      </c>
      <c r="B137" s="1" t="s">
        <v>32</v>
      </c>
      <c r="C137" s="2">
        <v>45753</v>
      </c>
      <c r="D137" s="1" t="s">
        <v>62</v>
      </c>
      <c r="E137" s="1" t="s">
        <v>77</v>
      </c>
      <c r="F137">
        <v>736</v>
      </c>
      <c r="G137">
        <v>771</v>
      </c>
      <c r="H137">
        <v>225</v>
      </c>
      <c r="I137">
        <v>5152</v>
      </c>
      <c r="J137">
        <f>Posts[[#This Row],[Likes]]+Posts[[#This Row],[Shares]]+Posts[[#This Row],[Comments]]</f>
        <v>1732</v>
      </c>
      <c r="K137" s="10">
        <f>Posts[[#This Row],[Engagement]]/Posts[[#This Row],[Impressions]]</f>
        <v>0.33618012422360249</v>
      </c>
      <c r="L137">
        <v>4706</v>
      </c>
      <c r="M137">
        <v>19</v>
      </c>
      <c r="N137" s="1" t="s">
        <v>59</v>
      </c>
      <c r="O137" s="1" t="s">
        <v>7</v>
      </c>
    </row>
    <row r="138" spans="1:15" x14ac:dyDescent="0.35">
      <c r="A138" s="1" t="s">
        <v>204</v>
      </c>
      <c r="B138" s="1" t="s">
        <v>31</v>
      </c>
      <c r="C138" s="2">
        <v>45543</v>
      </c>
      <c r="D138" s="1" t="s">
        <v>62</v>
      </c>
      <c r="E138" s="1" t="s">
        <v>65</v>
      </c>
      <c r="F138">
        <v>3811</v>
      </c>
      <c r="G138">
        <v>866</v>
      </c>
      <c r="H138">
        <v>216</v>
      </c>
      <c r="I138">
        <v>34299</v>
      </c>
      <c r="J138">
        <f>Posts[[#This Row],[Likes]]+Posts[[#This Row],[Shares]]+Posts[[#This Row],[Comments]]</f>
        <v>4893</v>
      </c>
      <c r="K138" s="10">
        <f>Posts[[#This Row],[Engagement]]/Posts[[#This Row],[Impressions]]</f>
        <v>0.14265722032712325</v>
      </c>
      <c r="L138">
        <v>34088</v>
      </c>
      <c r="M138">
        <v>233</v>
      </c>
      <c r="N138" s="1" t="s">
        <v>52</v>
      </c>
      <c r="O138" s="1" t="s">
        <v>19</v>
      </c>
    </row>
    <row r="139" spans="1:15" x14ac:dyDescent="0.35">
      <c r="A139" s="1" t="s">
        <v>205</v>
      </c>
      <c r="B139" s="1" t="s">
        <v>29</v>
      </c>
      <c r="C139" s="2">
        <v>45744</v>
      </c>
      <c r="D139" s="1" t="s">
        <v>62</v>
      </c>
      <c r="E139" s="1" t="s">
        <v>91</v>
      </c>
      <c r="F139">
        <v>4158</v>
      </c>
      <c r="G139">
        <v>167</v>
      </c>
      <c r="H139">
        <v>241</v>
      </c>
      <c r="I139">
        <v>45738</v>
      </c>
      <c r="J139">
        <f>Posts[[#This Row],[Likes]]+Posts[[#This Row],[Shares]]+Posts[[#This Row],[Comments]]</f>
        <v>4566</v>
      </c>
      <c r="K139" s="10">
        <f>Posts[[#This Row],[Engagement]]/Posts[[#This Row],[Impressions]]</f>
        <v>9.9829463465827106E-2</v>
      </c>
      <c r="L139">
        <v>45183</v>
      </c>
      <c r="M139">
        <v>142</v>
      </c>
      <c r="N139" s="1" t="s">
        <v>47</v>
      </c>
      <c r="O139" s="1" t="s">
        <v>80</v>
      </c>
    </row>
    <row r="140" spans="1:15" x14ac:dyDescent="0.35">
      <c r="A140" s="1" t="s">
        <v>206</v>
      </c>
      <c r="B140" s="1" t="s">
        <v>30</v>
      </c>
      <c r="C140" s="2">
        <v>45684</v>
      </c>
      <c r="D140" s="1" t="s">
        <v>45</v>
      </c>
      <c r="E140" s="1" t="s">
        <v>75</v>
      </c>
      <c r="F140">
        <v>3452</v>
      </c>
      <c r="G140">
        <v>652</v>
      </c>
      <c r="H140">
        <v>442</v>
      </c>
      <c r="I140">
        <v>65588</v>
      </c>
      <c r="J140">
        <f>Posts[[#This Row],[Likes]]+Posts[[#This Row],[Shares]]+Posts[[#This Row],[Comments]]</f>
        <v>4546</v>
      </c>
      <c r="K140" s="10">
        <f>Posts[[#This Row],[Engagement]]/Posts[[#This Row],[Impressions]]</f>
        <v>6.9311459413307311E-2</v>
      </c>
      <c r="L140">
        <v>65049</v>
      </c>
      <c r="M140">
        <v>158</v>
      </c>
      <c r="N140" s="1" t="s">
        <v>47</v>
      </c>
      <c r="O140" s="1" t="s">
        <v>15</v>
      </c>
    </row>
    <row r="141" spans="1:15" x14ac:dyDescent="0.35">
      <c r="A141" s="1" t="s">
        <v>207</v>
      </c>
      <c r="B141" s="1" t="s">
        <v>31</v>
      </c>
      <c r="C141" s="2">
        <v>45667</v>
      </c>
      <c r="D141" s="1" t="s">
        <v>67</v>
      </c>
      <c r="E141" s="1" t="s">
        <v>114</v>
      </c>
      <c r="F141">
        <v>3092</v>
      </c>
      <c r="G141">
        <v>106</v>
      </c>
      <c r="H141">
        <v>291</v>
      </c>
      <c r="I141">
        <v>27828</v>
      </c>
      <c r="J141">
        <f>Posts[[#This Row],[Likes]]+Posts[[#This Row],[Shares]]+Posts[[#This Row],[Comments]]</f>
        <v>3489</v>
      </c>
      <c r="K141" s="10">
        <f>Posts[[#This Row],[Engagement]]/Posts[[#This Row],[Impressions]]</f>
        <v>0.12537731780940059</v>
      </c>
      <c r="L141">
        <v>27217</v>
      </c>
      <c r="M141">
        <v>102</v>
      </c>
      <c r="N141" s="1" t="s">
        <v>47</v>
      </c>
      <c r="O141" s="1" t="s">
        <v>80</v>
      </c>
    </row>
    <row r="142" spans="1:15" x14ac:dyDescent="0.35">
      <c r="A142" s="1" t="s">
        <v>208</v>
      </c>
      <c r="B142" s="1" t="s">
        <v>31</v>
      </c>
      <c r="C142" s="2">
        <v>45494</v>
      </c>
      <c r="D142" s="1" t="s">
        <v>50</v>
      </c>
      <c r="E142" s="1" t="s">
        <v>51</v>
      </c>
      <c r="F142">
        <v>2147</v>
      </c>
      <c r="G142">
        <v>430</v>
      </c>
      <c r="H142">
        <v>393</v>
      </c>
      <c r="I142">
        <v>17176</v>
      </c>
      <c r="J142">
        <f>Posts[[#This Row],[Likes]]+Posts[[#This Row],[Shares]]+Posts[[#This Row],[Comments]]</f>
        <v>2970</v>
      </c>
      <c r="K142" s="10">
        <f>Posts[[#This Row],[Engagement]]/Posts[[#This Row],[Impressions]]</f>
        <v>0.17291569632044715</v>
      </c>
      <c r="L142">
        <v>16483</v>
      </c>
      <c r="M142">
        <v>170</v>
      </c>
      <c r="N142" s="1" t="s">
        <v>52</v>
      </c>
      <c r="O142" s="1" t="s">
        <v>80</v>
      </c>
    </row>
    <row r="143" spans="1:15" x14ac:dyDescent="0.35">
      <c r="A143" s="1" t="s">
        <v>209</v>
      </c>
      <c r="B143" s="1" t="s">
        <v>32</v>
      </c>
      <c r="C143" s="2">
        <v>45564</v>
      </c>
      <c r="D143" s="1" t="s">
        <v>45</v>
      </c>
      <c r="E143" s="1" t="s">
        <v>55</v>
      </c>
      <c r="F143">
        <v>2936</v>
      </c>
      <c r="G143">
        <v>439</v>
      </c>
      <c r="H143">
        <v>44</v>
      </c>
      <c r="I143">
        <v>38168</v>
      </c>
      <c r="J143">
        <f>Posts[[#This Row],[Likes]]+Posts[[#This Row],[Shares]]+Posts[[#This Row],[Comments]]</f>
        <v>3419</v>
      </c>
      <c r="K143" s="10">
        <f>Posts[[#This Row],[Engagement]]/Posts[[#This Row],[Impressions]]</f>
        <v>8.9577656675749323E-2</v>
      </c>
      <c r="L143">
        <v>37571</v>
      </c>
      <c r="M143">
        <v>22</v>
      </c>
      <c r="N143" s="1" t="s">
        <v>59</v>
      </c>
      <c r="O143" s="1" t="s">
        <v>19</v>
      </c>
    </row>
    <row r="144" spans="1:15" x14ac:dyDescent="0.35">
      <c r="A144" s="1" t="s">
        <v>210</v>
      </c>
      <c r="B144" s="1" t="s">
        <v>29</v>
      </c>
      <c r="C144" s="2">
        <v>45586</v>
      </c>
      <c r="D144" s="1" t="s">
        <v>45</v>
      </c>
      <c r="E144" s="1" t="s">
        <v>87</v>
      </c>
      <c r="F144">
        <v>4840</v>
      </c>
      <c r="G144">
        <v>658</v>
      </c>
      <c r="H144">
        <v>211</v>
      </c>
      <c r="I144">
        <v>43560</v>
      </c>
      <c r="J144">
        <f>Posts[[#This Row],[Likes]]+Posts[[#This Row],[Shares]]+Posts[[#This Row],[Comments]]</f>
        <v>5709</v>
      </c>
      <c r="K144" s="10">
        <f>Posts[[#This Row],[Engagement]]/Posts[[#This Row],[Impressions]]</f>
        <v>0.13106060606060607</v>
      </c>
      <c r="L144">
        <v>43225</v>
      </c>
      <c r="M144">
        <v>57</v>
      </c>
      <c r="N144" s="1" t="s">
        <v>47</v>
      </c>
      <c r="O144" s="1" t="s">
        <v>15</v>
      </c>
    </row>
    <row r="145" spans="1:15" x14ac:dyDescent="0.35">
      <c r="A145" s="1" t="s">
        <v>211</v>
      </c>
      <c r="B145" s="1" t="s">
        <v>29</v>
      </c>
      <c r="C145" s="2">
        <v>45720</v>
      </c>
      <c r="D145" s="1" t="s">
        <v>57</v>
      </c>
      <c r="E145" s="1" t="s">
        <v>58</v>
      </c>
      <c r="F145">
        <v>1947</v>
      </c>
      <c r="G145">
        <v>842</v>
      </c>
      <c r="H145">
        <v>101</v>
      </c>
      <c r="I145">
        <v>21417</v>
      </c>
      <c r="J145">
        <f>Posts[[#This Row],[Likes]]+Posts[[#This Row],[Shares]]+Posts[[#This Row],[Comments]]</f>
        <v>2890</v>
      </c>
      <c r="K145" s="10">
        <f>Posts[[#This Row],[Engagement]]/Posts[[#This Row],[Impressions]]</f>
        <v>0.13493953401503478</v>
      </c>
      <c r="L145">
        <v>20967</v>
      </c>
      <c r="M145">
        <v>186</v>
      </c>
      <c r="N145" s="1" t="s">
        <v>47</v>
      </c>
      <c r="O145" s="1" t="s">
        <v>11</v>
      </c>
    </row>
    <row r="146" spans="1:15" x14ac:dyDescent="0.35">
      <c r="A146" s="1" t="s">
        <v>212</v>
      </c>
      <c r="B146" s="1" t="s">
        <v>30</v>
      </c>
      <c r="C146" s="2">
        <v>45694</v>
      </c>
      <c r="D146" s="1" t="s">
        <v>67</v>
      </c>
      <c r="E146" s="1" t="s">
        <v>72</v>
      </c>
      <c r="F146">
        <v>2072</v>
      </c>
      <c r="G146">
        <v>532</v>
      </c>
      <c r="H146">
        <v>71</v>
      </c>
      <c r="I146">
        <v>37296</v>
      </c>
      <c r="J146">
        <f>Posts[[#This Row],[Likes]]+Posts[[#This Row],[Shares]]+Posts[[#This Row],[Comments]]</f>
        <v>2675</v>
      </c>
      <c r="K146" s="10">
        <f>Posts[[#This Row],[Engagement]]/Posts[[#This Row],[Impressions]]</f>
        <v>7.172350922350923E-2</v>
      </c>
      <c r="L146">
        <v>36467</v>
      </c>
      <c r="M146">
        <v>25</v>
      </c>
      <c r="N146" s="1" t="s">
        <v>52</v>
      </c>
      <c r="O146" s="1" t="s">
        <v>19</v>
      </c>
    </row>
    <row r="147" spans="1:15" x14ac:dyDescent="0.35">
      <c r="A147" s="1" t="s">
        <v>213</v>
      </c>
      <c r="B147" s="1" t="s">
        <v>31</v>
      </c>
      <c r="C147" s="2">
        <v>45771</v>
      </c>
      <c r="D147" s="1" t="s">
        <v>45</v>
      </c>
      <c r="E147" s="1" t="s">
        <v>46</v>
      </c>
      <c r="F147">
        <v>3731</v>
      </c>
      <c r="G147">
        <v>115</v>
      </c>
      <c r="H147">
        <v>135</v>
      </c>
      <c r="I147">
        <v>55965</v>
      </c>
      <c r="J147">
        <f>Posts[[#This Row],[Likes]]+Posts[[#This Row],[Shares]]+Posts[[#This Row],[Comments]]</f>
        <v>3981</v>
      </c>
      <c r="K147" s="10">
        <f>Posts[[#This Row],[Engagement]]/Posts[[#This Row],[Impressions]]</f>
        <v>7.1133744304476013E-2</v>
      </c>
      <c r="L147">
        <v>55436</v>
      </c>
      <c r="M147">
        <v>103</v>
      </c>
      <c r="N147" s="1" t="s">
        <v>52</v>
      </c>
      <c r="O147" s="1" t="s">
        <v>7</v>
      </c>
    </row>
    <row r="148" spans="1:15" x14ac:dyDescent="0.35">
      <c r="A148" s="1" t="s">
        <v>214</v>
      </c>
      <c r="B148" s="1" t="s">
        <v>30</v>
      </c>
      <c r="C148" s="2">
        <v>45624</v>
      </c>
      <c r="D148" s="1" t="s">
        <v>50</v>
      </c>
      <c r="E148" s="1" t="s">
        <v>70</v>
      </c>
      <c r="F148">
        <v>4213</v>
      </c>
      <c r="G148">
        <v>253</v>
      </c>
      <c r="H148">
        <v>434</v>
      </c>
      <c r="I148">
        <v>75834</v>
      </c>
      <c r="J148">
        <f>Posts[[#This Row],[Likes]]+Posts[[#This Row],[Shares]]+Posts[[#This Row],[Comments]]</f>
        <v>4900</v>
      </c>
      <c r="K148" s="10">
        <f>Posts[[#This Row],[Engagement]]/Posts[[#This Row],[Impressions]]</f>
        <v>6.461481657304112E-2</v>
      </c>
      <c r="L148">
        <v>75437</v>
      </c>
      <c r="M148">
        <v>272</v>
      </c>
      <c r="N148" s="1" t="s">
        <v>47</v>
      </c>
      <c r="O148" s="1" t="s">
        <v>19</v>
      </c>
    </row>
    <row r="149" spans="1:15" x14ac:dyDescent="0.35">
      <c r="A149" s="1" t="s">
        <v>215</v>
      </c>
      <c r="B149" s="1" t="s">
        <v>29</v>
      </c>
      <c r="C149" s="2">
        <v>45484</v>
      </c>
      <c r="D149" s="1" t="s">
        <v>50</v>
      </c>
      <c r="E149" s="1" t="s">
        <v>104</v>
      </c>
      <c r="F149">
        <v>3134</v>
      </c>
      <c r="G149">
        <v>888</v>
      </c>
      <c r="H149">
        <v>444</v>
      </c>
      <c r="I149">
        <v>21938</v>
      </c>
      <c r="J149">
        <f>Posts[[#This Row],[Likes]]+Posts[[#This Row],[Shares]]+Posts[[#This Row],[Comments]]</f>
        <v>4466</v>
      </c>
      <c r="K149" s="10">
        <f>Posts[[#This Row],[Engagement]]/Posts[[#This Row],[Impressions]]</f>
        <v>0.20357370772176134</v>
      </c>
      <c r="L149">
        <v>21337</v>
      </c>
      <c r="M149">
        <v>130</v>
      </c>
      <c r="N149" s="1" t="s">
        <v>59</v>
      </c>
      <c r="O149" s="1" t="s">
        <v>19</v>
      </c>
    </row>
    <row r="150" spans="1:15" x14ac:dyDescent="0.35">
      <c r="A150" s="1" t="s">
        <v>216</v>
      </c>
      <c r="B150" s="1" t="s">
        <v>30</v>
      </c>
      <c r="C150" s="2">
        <v>45504</v>
      </c>
      <c r="D150" s="1" t="s">
        <v>82</v>
      </c>
      <c r="E150" s="1" t="s">
        <v>83</v>
      </c>
      <c r="F150">
        <v>3008</v>
      </c>
      <c r="G150">
        <v>94</v>
      </c>
      <c r="H150">
        <v>37</v>
      </c>
      <c r="I150">
        <v>15040</v>
      </c>
      <c r="J150">
        <f>Posts[[#This Row],[Likes]]+Posts[[#This Row],[Shares]]+Posts[[#This Row],[Comments]]</f>
        <v>3139</v>
      </c>
      <c r="K150" s="10">
        <f>Posts[[#This Row],[Engagement]]/Posts[[#This Row],[Impressions]]</f>
        <v>0.20871010638297871</v>
      </c>
      <c r="L150">
        <v>14639</v>
      </c>
      <c r="M150">
        <v>277</v>
      </c>
      <c r="N150" s="1" t="s">
        <v>47</v>
      </c>
      <c r="O150" s="1" t="s">
        <v>80</v>
      </c>
    </row>
    <row r="151" spans="1:15" x14ac:dyDescent="0.35">
      <c r="A151" s="1" t="s">
        <v>217</v>
      </c>
      <c r="B151" s="1" t="s">
        <v>31</v>
      </c>
      <c r="C151" s="2">
        <v>45745</v>
      </c>
      <c r="D151" s="1" t="s">
        <v>67</v>
      </c>
      <c r="E151" s="1" t="s">
        <v>114</v>
      </c>
      <c r="F151">
        <v>305</v>
      </c>
      <c r="G151">
        <v>187</v>
      </c>
      <c r="H151">
        <v>243</v>
      </c>
      <c r="I151">
        <v>4575</v>
      </c>
      <c r="J151">
        <f>Posts[[#This Row],[Likes]]+Posts[[#This Row],[Shares]]+Posts[[#This Row],[Comments]]</f>
        <v>735</v>
      </c>
      <c r="K151" s="10">
        <f>Posts[[#This Row],[Engagement]]/Posts[[#This Row],[Impressions]]</f>
        <v>0.16065573770491803</v>
      </c>
      <c r="L151">
        <v>3704</v>
      </c>
      <c r="M151">
        <v>234</v>
      </c>
      <c r="N151" s="1" t="s">
        <v>47</v>
      </c>
      <c r="O151" s="1" t="s">
        <v>15</v>
      </c>
    </row>
    <row r="152" spans="1:15" x14ac:dyDescent="0.35">
      <c r="A152" s="1" t="s">
        <v>218</v>
      </c>
      <c r="B152" s="1" t="s">
        <v>32</v>
      </c>
      <c r="C152" s="2">
        <v>45594</v>
      </c>
      <c r="D152" s="1" t="s">
        <v>50</v>
      </c>
      <c r="E152" s="1" t="s">
        <v>99</v>
      </c>
      <c r="F152">
        <v>2746</v>
      </c>
      <c r="G152">
        <v>156</v>
      </c>
      <c r="H152">
        <v>203</v>
      </c>
      <c r="I152">
        <v>32952</v>
      </c>
      <c r="J152">
        <f>Posts[[#This Row],[Likes]]+Posts[[#This Row],[Shares]]+Posts[[#This Row],[Comments]]</f>
        <v>3105</v>
      </c>
      <c r="K152" s="10">
        <f>Posts[[#This Row],[Engagement]]/Posts[[#This Row],[Impressions]]</f>
        <v>9.422796795338674E-2</v>
      </c>
      <c r="L152">
        <v>32147</v>
      </c>
      <c r="M152">
        <v>147</v>
      </c>
      <c r="N152" s="1" t="s">
        <v>59</v>
      </c>
      <c r="O152" s="1" t="s">
        <v>7</v>
      </c>
    </row>
    <row r="153" spans="1:15" x14ac:dyDescent="0.35">
      <c r="A153" s="1" t="s">
        <v>219</v>
      </c>
      <c r="B153" s="1" t="s">
        <v>30</v>
      </c>
      <c r="C153" s="2">
        <v>45488</v>
      </c>
      <c r="D153" s="1" t="s">
        <v>67</v>
      </c>
      <c r="E153" s="1" t="s">
        <v>72</v>
      </c>
      <c r="F153">
        <v>2291</v>
      </c>
      <c r="G153">
        <v>78</v>
      </c>
      <c r="H153">
        <v>485</v>
      </c>
      <c r="I153">
        <v>18328</v>
      </c>
      <c r="J153">
        <f>Posts[[#This Row],[Likes]]+Posts[[#This Row],[Shares]]+Posts[[#This Row],[Comments]]</f>
        <v>2854</v>
      </c>
      <c r="K153" s="10">
        <f>Posts[[#This Row],[Engagement]]/Posts[[#This Row],[Impressions]]</f>
        <v>0.15571802706241816</v>
      </c>
      <c r="L153">
        <v>18101</v>
      </c>
      <c r="M153">
        <v>10</v>
      </c>
      <c r="N153" s="1" t="s">
        <v>59</v>
      </c>
      <c r="O153" s="1" t="s">
        <v>11</v>
      </c>
    </row>
    <row r="154" spans="1:15" x14ac:dyDescent="0.35">
      <c r="A154" s="1" t="s">
        <v>219</v>
      </c>
      <c r="B154" s="1" t="s">
        <v>30</v>
      </c>
      <c r="C154" s="2">
        <v>45488</v>
      </c>
      <c r="D154" s="1" t="s">
        <v>67</v>
      </c>
      <c r="E154" s="1" t="s">
        <v>72</v>
      </c>
      <c r="F154">
        <v>2291</v>
      </c>
      <c r="G154">
        <v>78</v>
      </c>
      <c r="H154">
        <v>485</v>
      </c>
      <c r="I154">
        <v>18328</v>
      </c>
      <c r="J154">
        <f>Posts[[#This Row],[Likes]]+Posts[[#This Row],[Shares]]+Posts[[#This Row],[Comments]]</f>
        <v>2854</v>
      </c>
      <c r="K154" s="10">
        <f>Posts[[#This Row],[Engagement]]/Posts[[#This Row],[Impressions]]</f>
        <v>0.15571802706241816</v>
      </c>
      <c r="L154">
        <v>18101</v>
      </c>
      <c r="M154">
        <v>10</v>
      </c>
      <c r="N154" s="1" t="s">
        <v>18</v>
      </c>
      <c r="O154" s="1" t="s">
        <v>11</v>
      </c>
    </row>
    <row r="155" spans="1:15" x14ac:dyDescent="0.35">
      <c r="A155" s="1" t="s">
        <v>220</v>
      </c>
      <c r="B155" s="1" t="s">
        <v>31</v>
      </c>
      <c r="C155" s="2">
        <v>45535</v>
      </c>
      <c r="D155" s="1" t="s">
        <v>67</v>
      </c>
      <c r="E155" s="1" t="s">
        <v>114</v>
      </c>
      <c r="F155">
        <v>3170</v>
      </c>
      <c r="G155">
        <v>857</v>
      </c>
      <c r="H155">
        <v>379</v>
      </c>
      <c r="I155">
        <v>19020</v>
      </c>
      <c r="J155">
        <f>Posts[[#This Row],[Likes]]+Posts[[#This Row],[Shares]]+Posts[[#This Row],[Comments]]</f>
        <v>4406</v>
      </c>
      <c r="K155" s="10">
        <f>Posts[[#This Row],[Engagement]]/Posts[[#This Row],[Impressions]]</f>
        <v>0.2316508937960042</v>
      </c>
      <c r="L155">
        <v>18559</v>
      </c>
      <c r="M155">
        <v>240</v>
      </c>
      <c r="N155" s="1" t="s">
        <v>47</v>
      </c>
      <c r="O155" s="1" t="s">
        <v>80</v>
      </c>
    </row>
    <row r="156" spans="1:15" x14ac:dyDescent="0.35">
      <c r="A156" s="1" t="s">
        <v>221</v>
      </c>
      <c r="B156" s="1" t="s">
        <v>32</v>
      </c>
      <c r="C156" s="2">
        <v>45741</v>
      </c>
      <c r="D156" s="1" t="s">
        <v>57</v>
      </c>
      <c r="E156" s="1" t="s">
        <v>127</v>
      </c>
      <c r="F156">
        <v>2070</v>
      </c>
      <c r="G156">
        <v>275</v>
      </c>
      <c r="H156">
        <v>386</v>
      </c>
      <c r="I156">
        <v>39330</v>
      </c>
      <c r="J156">
        <f>Posts[[#This Row],[Likes]]+Posts[[#This Row],[Shares]]+Posts[[#This Row],[Comments]]</f>
        <v>2731</v>
      </c>
      <c r="K156" s="10">
        <f>Posts[[#This Row],[Engagement]]/Posts[[#This Row],[Impressions]]</f>
        <v>6.9438087973557078E-2</v>
      </c>
      <c r="L156">
        <v>38627</v>
      </c>
      <c r="M156">
        <v>114</v>
      </c>
      <c r="N156" s="1" t="s">
        <v>47</v>
      </c>
      <c r="O156" s="1" t="s">
        <v>19</v>
      </c>
    </row>
    <row r="157" spans="1:15" x14ac:dyDescent="0.35">
      <c r="A157" s="1" t="s">
        <v>222</v>
      </c>
      <c r="B157" s="1" t="s">
        <v>32</v>
      </c>
      <c r="C157" s="2">
        <v>45567</v>
      </c>
      <c r="D157" s="1" t="s">
        <v>62</v>
      </c>
      <c r="E157" s="1" t="s">
        <v>77</v>
      </c>
      <c r="F157">
        <v>80</v>
      </c>
      <c r="G157">
        <v>362</v>
      </c>
      <c r="H157">
        <v>80</v>
      </c>
      <c r="I157">
        <v>1040</v>
      </c>
      <c r="J157">
        <f>Posts[[#This Row],[Likes]]+Posts[[#This Row],[Shares]]+Posts[[#This Row],[Comments]]</f>
        <v>522</v>
      </c>
      <c r="K157" s="10">
        <f>Posts[[#This Row],[Engagement]]/Posts[[#This Row],[Impressions]]</f>
        <v>0.50192307692307692</v>
      </c>
      <c r="L157">
        <v>349</v>
      </c>
      <c r="M157">
        <v>117</v>
      </c>
      <c r="N157" s="1" t="s">
        <v>52</v>
      </c>
      <c r="O157" s="1" t="s">
        <v>15</v>
      </c>
    </row>
    <row r="158" spans="1:15" x14ac:dyDescent="0.35">
      <c r="A158" s="1" t="s">
        <v>223</v>
      </c>
      <c r="B158" s="1" t="s">
        <v>32</v>
      </c>
      <c r="C158" s="2">
        <v>45593</v>
      </c>
      <c r="D158" s="1" t="s">
        <v>57</v>
      </c>
      <c r="E158" s="1" t="s">
        <v>127</v>
      </c>
      <c r="F158">
        <v>4929</v>
      </c>
      <c r="G158">
        <v>749</v>
      </c>
      <c r="H158">
        <v>452</v>
      </c>
      <c r="I158">
        <v>93651</v>
      </c>
      <c r="J158">
        <f>Posts[[#This Row],[Likes]]+Posts[[#This Row],[Shares]]+Posts[[#This Row],[Comments]]</f>
        <v>6130</v>
      </c>
      <c r="K158" s="10">
        <f>Posts[[#This Row],[Engagement]]/Posts[[#This Row],[Impressions]]</f>
        <v>6.5455787978772245E-2</v>
      </c>
      <c r="L158">
        <v>92810</v>
      </c>
      <c r="M158">
        <v>66</v>
      </c>
      <c r="N158" s="1" t="s">
        <v>59</v>
      </c>
      <c r="O158" s="1" t="s">
        <v>19</v>
      </c>
    </row>
    <row r="159" spans="1:15" x14ac:dyDescent="0.35">
      <c r="A159" s="1" t="s">
        <v>224</v>
      </c>
      <c r="B159" s="1" t="s">
        <v>29</v>
      </c>
      <c r="C159" s="2">
        <v>45516</v>
      </c>
      <c r="D159" s="1" t="s">
        <v>62</v>
      </c>
      <c r="E159" s="1" t="s">
        <v>91</v>
      </c>
      <c r="F159">
        <v>1878</v>
      </c>
      <c r="G159">
        <v>62</v>
      </c>
      <c r="H159">
        <v>179</v>
      </c>
      <c r="I159">
        <v>37560</v>
      </c>
      <c r="J159">
        <f>Posts[[#This Row],[Likes]]+Posts[[#This Row],[Shares]]+Posts[[#This Row],[Comments]]</f>
        <v>2119</v>
      </c>
      <c r="K159" s="10">
        <f>Posts[[#This Row],[Engagement]]/Posts[[#This Row],[Impressions]]</f>
        <v>5.6416400425985093E-2</v>
      </c>
      <c r="L159">
        <v>36874</v>
      </c>
      <c r="M159">
        <v>142</v>
      </c>
      <c r="N159" s="1" t="s">
        <v>52</v>
      </c>
      <c r="O159" s="1" t="s">
        <v>19</v>
      </c>
    </row>
    <row r="160" spans="1:15" x14ac:dyDescent="0.35">
      <c r="A160" s="1" t="s">
        <v>225</v>
      </c>
      <c r="B160" s="1" t="s">
        <v>32</v>
      </c>
      <c r="C160" s="2">
        <v>45448</v>
      </c>
      <c r="D160" s="1" t="s">
        <v>45</v>
      </c>
      <c r="E160" s="1" t="s">
        <v>55</v>
      </c>
      <c r="F160">
        <v>3065</v>
      </c>
      <c r="G160">
        <v>772</v>
      </c>
      <c r="H160">
        <v>142</v>
      </c>
      <c r="I160">
        <v>18390</v>
      </c>
      <c r="J160">
        <f>Posts[[#This Row],[Likes]]+Posts[[#This Row],[Shares]]+Posts[[#This Row],[Comments]]</f>
        <v>3979</v>
      </c>
      <c r="K160" s="10">
        <f>Posts[[#This Row],[Engagement]]/Posts[[#This Row],[Impressions]]</f>
        <v>0.21636759108210984</v>
      </c>
      <c r="L160">
        <v>17875</v>
      </c>
      <c r="M160">
        <v>200</v>
      </c>
      <c r="N160" s="1" t="s">
        <v>59</v>
      </c>
      <c r="O160" s="1" t="s">
        <v>80</v>
      </c>
    </row>
    <row r="161" spans="1:15" x14ac:dyDescent="0.35">
      <c r="A161" s="1" t="s">
        <v>225</v>
      </c>
      <c r="B161" s="1" t="s">
        <v>32</v>
      </c>
      <c r="C161" s="2">
        <v>45448</v>
      </c>
      <c r="D161" s="1" t="s">
        <v>45</v>
      </c>
      <c r="E161" s="1" t="s">
        <v>55</v>
      </c>
      <c r="F161">
        <v>3065</v>
      </c>
      <c r="G161">
        <v>772</v>
      </c>
      <c r="H161">
        <v>142</v>
      </c>
      <c r="I161">
        <v>18390</v>
      </c>
      <c r="J161">
        <f>Posts[[#This Row],[Likes]]+Posts[[#This Row],[Shares]]+Posts[[#This Row],[Comments]]</f>
        <v>3979</v>
      </c>
      <c r="K161" s="10">
        <f>Posts[[#This Row],[Engagement]]/Posts[[#This Row],[Impressions]]</f>
        <v>0.21636759108210984</v>
      </c>
      <c r="L161">
        <v>17875</v>
      </c>
      <c r="M161">
        <v>200</v>
      </c>
      <c r="N161" s="1" t="s">
        <v>48</v>
      </c>
      <c r="O161" s="1" t="s">
        <v>80</v>
      </c>
    </row>
    <row r="162" spans="1:15" x14ac:dyDescent="0.35">
      <c r="A162" s="1" t="s">
        <v>226</v>
      </c>
      <c r="B162" s="1" t="s">
        <v>29</v>
      </c>
      <c r="C162" s="2">
        <v>45586</v>
      </c>
      <c r="D162" s="1" t="s">
        <v>45</v>
      </c>
      <c r="E162" s="1" t="s">
        <v>87</v>
      </c>
      <c r="F162">
        <v>3256</v>
      </c>
      <c r="G162">
        <v>459</v>
      </c>
      <c r="H162">
        <v>266</v>
      </c>
      <c r="I162">
        <v>26048</v>
      </c>
      <c r="J162">
        <f>Posts[[#This Row],[Likes]]+Posts[[#This Row],[Shares]]+Posts[[#This Row],[Comments]]</f>
        <v>3981</v>
      </c>
      <c r="K162" s="10">
        <f>Posts[[#This Row],[Engagement]]/Posts[[#This Row],[Impressions]]</f>
        <v>0.15283323095823095</v>
      </c>
      <c r="L162">
        <v>25529</v>
      </c>
      <c r="M162">
        <v>143</v>
      </c>
      <c r="N162" s="1" t="s">
        <v>52</v>
      </c>
      <c r="O162" s="1" t="s">
        <v>11</v>
      </c>
    </row>
    <row r="163" spans="1:15" x14ac:dyDescent="0.35">
      <c r="A163" s="1" t="s">
        <v>227</v>
      </c>
      <c r="B163" s="1" t="s">
        <v>29</v>
      </c>
      <c r="C163" s="2">
        <v>45762</v>
      </c>
      <c r="D163" s="1" t="s">
        <v>82</v>
      </c>
      <c r="E163" s="1" t="s">
        <v>89</v>
      </c>
      <c r="F163">
        <v>4133</v>
      </c>
      <c r="G163">
        <v>466</v>
      </c>
      <c r="H163">
        <v>327</v>
      </c>
      <c r="I163">
        <v>24798</v>
      </c>
      <c r="J163">
        <f>Posts[[#This Row],[Likes]]+Posts[[#This Row],[Shares]]+Posts[[#This Row],[Comments]]</f>
        <v>4926</v>
      </c>
      <c r="K163" s="10">
        <f>Posts[[#This Row],[Engagement]]/Posts[[#This Row],[Impressions]]</f>
        <v>0.19864505202032423</v>
      </c>
      <c r="L163">
        <v>24620</v>
      </c>
      <c r="M163">
        <v>176</v>
      </c>
      <c r="N163" s="1" t="s">
        <v>59</v>
      </c>
      <c r="O163" s="1" t="s">
        <v>19</v>
      </c>
    </row>
    <row r="164" spans="1:15" x14ac:dyDescent="0.35">
      <c r="A164" s="1" t="s">
        <v>228</v>
      </c>
      <c r="B164" s="1" t="s">
        <v>31</v>
      </c>
      <c r="C164" s="2">
        <v>45459</v>
      </c>
      <c r="D164" s="1" t="s">
        <v>82</v>
      </c>
      <c r="E164" s="1" t="s">
        <v>121</v>
      </c>
      <c r="F164">
        <v>1702</v>
      </c>
      <c r="G164">
        <v>750</v>
      </c>
      <c r="H164">
        <v>179</v>
      </c>
      <c r="I164">
        <v>34040</v>
      </c>
      <c r="J164">
        <f>Posts[[#This Row],[Likes]]+Posts[[#This Row],[Shares]]+Posts[[#This Row],[Comments]]</f>
        <v>2631</v>
      </c>
      <c r="K164" s="10">
        <f>Posts[[#This Row],[Engagement]]/Posts[[#This Row],[Impressions]]</f>
        <v>7.7291421856639245E-2</v>
      </c>
      <c r="L164">
        <v>33174</v>
      </c>
      <c r="M164">
        <v>76</v>
      </c>
      <c r="N164" s="1" t="s">
        <v>59</v>
      </c>
      <c r="O164" s="1" t="s">
        <v>7</v>
      </c>
    </row>
    <row r="165" spans="1:15" x14ac:dyDescent="0.35">
      <c r="A165" s="1" t="s">
        <v>229</v>
      </c>
      <c r="B165" s="1" t="s">
        <v>32</v>
      </c>
      <c r="C165" s="2">
        <v>45526</v>
      </c>
      <c r="D165" s="1" t="s">
        <v>62</v>
      </c>
      <c r="E165" s="1" t="s">
        <v>77</v>
      </c>
      <c r="F165">
        <v>4295</v>
      </c>
      <c r="G165">
        <v>853</v>
      </c>
      <c r="H165">
        <v>325</v>
      </c>
      <c r="I165">
        <v>85900</v>
      </c>
      <c r="J165">
        <f>Posts[[#This Row],[Likes]]+Posts[[#This Row],[Shares]]+Posts[[#This Row],[Comments]]</f>
        <v>5473</v>
      </c>
      <c r="K165" s="10">
        <f>Posts[[#This Row],[Engagement]]/Posts[[#This Row],[Impressions]]</f>
        <v>6.3713620488940623E-2</v>
      </c>
      <c r="L165">
        <v>85788</v>
      </c>
      <c r="M165">
        <v>290</v>
      </c>
      <c r="N165" s="1" t="s">
        <v>52</v>
      </c>
      <c r="O165" s="1" t="s">
        <v>19</v>
      </c>
    </row>
    <row r="166" spans="1:15" x14ac:dyDescent="0.35">
      <c r="A166" s="1" t="s">
        <v>230</v>
      </c>
      <c r="B166" s="1" t="s">
        <v>29</v>
      </c>
      <c r="C166" s="2">
        <v>45499</v>
      </c>
      <c r="D166" s="1" t="s">
        <v>67</v>
      </c>
      <c r="E166" s="1" t="s">
        <v>160</v>
      </c>
      <c r="F166">
        <v>3559</v>
      </c>
      <c r="G166">
        <v>59</v>
      </c>
      <c r="H166">
        <v>289</v>
      </c>
      <c r="I166">
        <v>35590</v>
      </c>
      <c r="J166">
        <f>Posts[[#This Row],[Likes]]+Posts[[#This Row],[Shares]]+Posts[[#This Row],[Comments]]</f>
        <v>3907</v>
      </c>
      <c r="K166" s="10">
        <f>Posts[[#This Row],[Engagement]]/Posts[[#This Row],[Impressions]]</f>
        <v>0.10977802753582468</v>
      </c>
      <c r="L166">
        <v>35105</v>
      </c>
      <c r="M166">
        <v>122</v>
      </c>
      <c r="N166" s="1" t="s">
        <v>59</v>
      </c>
      <c r="O166" s="1" t="s">
        <v>7</v>
      </c>
    </row>
    <row r="167" spans="1:15" x14ac:dyDescent="0.35">
      <c r="A167" s="1" t="s">
        <v>231</v>
      </c>
      <c r="B167" s="1" t="s">
        <v>30</v>
      </c>
      <c r="C167" s="2">
        <v>45769</v>
      </c>
      <c r="D167" s="1" t="s">
        <v>67</v>
      </c>
      <c r="E167" s="1" t="s">
        <v>72</v>
      </c>
      <c r="F167">
        <v>4804</v>
      </c>
      <c r="G167">
        <v>550</v>
      </c>
      <c r="H167">
        <v>270</v>
      </c>
      <c r="I167">
        <v>28824</v>
      </c>
      <c r="J167">
        <f>Posts[[#This Row],[Likes]]+Posts[[#This Row],[Shares]]+Posts[[#This Row],[Comments]]</f>
        <v>5624</v>
      </c>
      <c r="K167" s="10">
        <f>Posts[[#This Row],[Engagement]]/Posts[[#This Row],[Impressions]]</f>
        <v>0.19511518179295032</v>
      </c>
      <c r="L167">
        <v>28370</v>
      </c>
      <c r="M167">
        <v>47</v>
      </c>
      <c r="N167" s="1" t="s">
        <v>59</v>
      </c>
      <c r="O167" s="1" t="s">
        <v>19</v>
      </c>
    </row>
    <row r="168" spans="1:15" x14ac:dyDescent="0.35">
      <c r="A168" s="1" t="s">
        <v>232</v>
      </c>
      <c r="B168" s="1" t="s">
        <v>31</v>
      </c>
      <c r="C168" s="2">
        <v>45658</v>
      </c>
      <c r="D168" s="1" t="s">
        <v>82</v>
      </c>
      <c r="E168" s="1" t="s">
        <v>121</v>
      </c>
      <c r="F168">
        <v>754</v>
      </c>
      <c r="G168">
        <v>197</v>
      </c>
      <c r="H168">
        <v>257</v>
      </c>
      <c r="I168">
        <v>6786</v>
      </c>
      <c r="J168">
        <f>Posts[[#This Row],[Likes]]+Posts[[#This Row],[Shares]]+Posts[[#This Row],[Comments]]</f>
        <v>1208</v>
      </c>
      <c r="K168" s="10">
        <f>Posts[[#This Row],[Engagement]]/Posts[[#This Row],[Impressions]]</f>
        <v>0.17801355732390214</v>
      </c>
      <c r="L168">
        <v>6221</v>
      </c>
      <c r="M168">
        <v>212</v>
      </c>
      <c r="N168" s="1" t="s">
        <v>52</v>
      </c>
      <c r="O168" s="1" t="s">
        <v>15</v>
      </c>
    </row>
    <row r="169" spans="1:15" x14ac:dyDescent="0.35">
      <c r="A169" s="1" t="s">
        <v>233</v>
      </c>
      <c r="B169" s="1" t="s">
        <v>29</v>
      </c>
      <c r="C169" s="2">
        <v>45574</v>
      </c>
      <c r="D169" s="1" t="s">
        <v>62</v>
      </c>
      <c r="E169" s="1" t="s">
        <v>91</v>
      </c>
      <c r="F169">
        <v>985</v>
      </c>
      <c r="G169">
        <v>932</v>
      </c>
      <c r="H169">
        <v>287</v>
      </c>
      <c r="I169">
        <v>6895</v>
      </c>
      <c r="J169">
        <f>Posts[[#This Row],[Likes]]+Posts[[#This Row],[Shares]]+Posts[[#This Row],[Comments]]</f>
        <v>2204</v>
      </c>
      <c r="K169" s="10">
        <f>Posts[[#This Row],[Engagement]]/Posts[[#This Row],[Impressions]]</f>
        <v>0.31965192168237855</v>
      </c>
      <c r="L169">
        <v>6757</v>
      </c>
      <c r="M169">
        <v>64</v>
      </c>
      <c r="N169" s="1" t="s">
        <v>47</v>
      </c>
      <c r="O169" s="1" t="s">
        <v>19</v>
      </c>
    </row>
    <row r="170" spans="1:15" x14ac:dyDescent="0.35">
      <c r="A170" s="1" t="s">
        <v>234</v>
      </c>
      <c r="B170" s="1" t="s">
        <v>32</v>
      </c>
      <c r="C170" s="2">
        <v>45647</v>
      </c>
      <c r="D170" s="1" t="s">
        <v>67</v>
      </c>
      <c r="E170" s="1" t="s">
        <v>68</v>
      </c>
      <c r="F170">
        <v>2283</v>
      </c>
      <c r="G170">
        <v>210</v>
      </c>
      <c r="H170">
        <v>130</v>
      </c>
      <c r="I170">
        <v>22830</v>
      </c>
      <c r="J170">
        <f>Posts[[#This Row],[Likes]]+Posts[[#This Row],[Shares]]+Posts[[#This Row],[Comments]]</f>
        <v>2623</v>
      </c>
      <c r="K170" s="10">
        <f>Posts[[#This Row],[Engagement]]/Posts[[#This Row],[Impressions]]</f>
        <v>0.11489268506351293</v>
      </c>
      <c r="L170">
        <v>22617</v>
      </c>
      <c r="M170">
        <v>143</v>
      </c>
      <c r="N170" s="1" t="s">
        <v>47</v>
      </c>
      <c r="O170" s="1" t="s">
        <v>11</v>
      </c>
    </row>
    <row r="171" spans="1:15" x14ac:dyDescent="0.35">
      <c r="A171" s="1" t="s">
        <v>235</v>
      </c>
      <c r="B171" s="1" t="s">
        <v>30</v>
      </c>
      <c r="C171" s="2">
        <v>45587</v>
      </c>
      <c r="D171" s="1" t="s">
        <v>62</v>
      </c>
      <c r="E171" s="1" t="s">
        <v>63</v>
      </c>
      <c r="F171">
        <v>3352</v>
      </c>
      <c r="G171">
        <v>941</v>
      </c>
      <c r="H171">
        <v>482</v>
      </c>
      <c r="I171">
        <v>43576</v>
      </c>
      <c r="J171">
        <f>Posts[[#This Row],[Likes]]+Posts[[#This Row],[Shares]]+Posts[[#This Row],[Comments]]</f>
        <v>4775</v>
      </c>
      <c r="K171" s="10">
        <f>Posts[[#This Row],[Engagement]]/Posts[[#This Row],[Impressions]]</f>
        <v>0.1095786671562328</v>
      </c>
      <c r="L171">
        <v>43338</v>
      </c>
      <c r="M171">
        <v>240</v>
      </c>
      <c r="N171" s="1" t="s">
        <v>47</v>
      </c>
      <c r="O171" s="1" t="s">
        <v>11</v>
      </c>
    </row>
    <row r="172" spans="1:15" x14ac:dyDescent="0.35">
      <c r="A172" s="1" t="s">
        <v>236</v>
      </c>
      <c r="B172" s="1" t="s">
        <v>32</v>
      </c>
      <c r="C172" s="2">
        <v>45496</v>
      </c>
      <c r="D172" s="1" t="s">
        <v>57</v>
      </c>
      <c r="E172" s="1" t="s">
        <v>127</v>
      </c>
      <c r="F172">
        <v>4775</v>
      </c>
      <c r="G172">
        <v>173</v>
      </c>
      <c r="H172">
        <v>206</v>
      </c>
      <c r="I172">
        <v>47750</v>
      </c>
      <c r="J172">
        <f>Posts[[#This Row],[Likes]]+Posts[[#This Row],[Shares]]+Posts[[#This Row],[Comments]]</f>
        <v>5154</v>
      </c>
      <c r="K172" s="10">
        <f>Posts[[#This Row],[Engagement]]/Posts[[#This Row],[Impressions]]</f>
        <v>0.10793717277486911</v>
      </c>
      <c r="L172">
        <v>47544</v>
      </c>
      <c r="M172">
        <v>187</v>
      </c>
      <c r="N172" s="1" t="s">
        <v>47</v>
      </c>
      <c r="O172" s="1" t="s">
        <v>11</v>
      </c>
    </row>
    <row r="173" spans="1:15" x14ac:dyDescent="0.35">
      <c r="A173" s="1" t="s">
        <v>237</v>
      </c>
      <c r="B173" s="1" t="s">
        <v>29</v>
      </c>
      <c r="C173" s="2">
        <v>45515</v>
      </c>
      <c r="D173" s="1" t="s">
        <v>57</v>
      </c>
      <c r="E173" s="1" t="s">
        <v>58</v>
      </c>
      <c r="F173">
        <v>1762</v>
      </c>
      <c r="G173">
        <v>405</v>
      </c>
      <c r="H173">
        <v>423</v>
      </c>
      <c r="I173">
        <v>22906</v>
      </c>
      <c r="J173">
        <f>Posts[[#This Row],[Likes]]+Posts[[#This Row],[Shares]]+Posts[[#This Row],[Comments]]</f>
        <v>2590</v>
      </c>
      <c r="K173" s="10">
        <f>Posts[[#This Row],[Engagement]]/Posts[[#This Row],[Impressions]]</f>
        <v>0.11307081114118571</v>
      </c>
      <c r="L173">
        <v>21925</v>
      </c>
      <c r="M173">
        <v>25</v>
      </c>
      <c r="N173" s="1" t="s">
        <v>52</v>
      </c>
      <c r="O173" s="1" t="s">
        <v>7</v>
      </c>
    </row>
    <row r="174" spans="1:15" x14ac:dyDescent="0.35">
      <c r="A174" s="1" t="s">
        <v>238</v>
      </c>
      <c r="B174" s="1" t="s">
        <v>30</v>
      </c>
      <c r="C174" s="2">
        <v>45621</v>
      </c>
      <c r="D174" s="1" t="s">
        <v>57</v>
      </c>
      <c r="E174" s="1" t="s">
        <v>79</v>
      </c>
      <c r="F174">
        <v>2120</v>
      </c>
      <c r="G174">
        <v>158</v>
      </c>
      <c r="H174">
        <v>488</v>
      </c>
      <c r="I174">
        <v>12720</v>
      </c>
      <c r="J174">
        <f>Posts[[#This Row],[Likes]]+Posts[[#This Row],[Shares]]+Posts[[#This Row],[Comments]]</f>
        <v>2766</v>
      </c>
      <c r="K174" s="10">
        <f>Posts[[#This Row],[Engagement]]/Posts[[#This Row],[Impressions]]</f>
        <v>0.21745283018867925</v>
      </c>
      <c r="L174">
        <v>12085</v>
      </c>
      <c r="M174">
        <v>17</v>
      </c>
      <c r="N174" s="1" t="s">
        <v>47</v>
      </c>
      <c r="O174" s="1" t="s">
        <v>11</v>
      </c>
    </row>
    <row r="175" spans="1:15" x14ac:dyDescent="0.35">
      <c r="A175" s="1" t="s">
        <v>239</v>
      </c>
      <c r="B175" s="1" t="s">
        <v>31</v>
      </c>
      <c r="C175" s="2">
        <v>45528</v>
      </c>
      <c r="D175" s="1" t="s">
        <v>82</v>
      </c>
      <c r="E175" s="1" t="s">
        <v>121</v>
      </c>
      <c r="F175">
        <v>1082</v>
      </c>
      <c r="G175">
        <v>209</v>
      </c>
      <c r="H175">
        <v>484</v>
      </c>
      <c r="I175">
        <v>19476</v>
      </c>
      <c r="J175">
        <f>Posts[[#This Row],[Likes]]+Posts[[#This Row],[Shares]]+Posts[[#This Row],[Comments]]</f>
        <v>1775</v>
      </c>
      <c r="K175" s="10">
        <f>Posts[[#This Row],[Engagement]]/Posts[[#This Row],[Impressions]]</f>
        <v>9.1137810638734856E-2</v>
      </c>
      <c r="L175">
        <v>18654</v>
      </c>
      <c r="M175">
        <v>20</v>
      </c>
      <c r="N175" s="1" t="s">
        <v>52</v>
      </c>
      <c r="O175" s="1" t="s">
        <v>80</v>
      </c>
    </row>
    <row r="176" spans="1:15" x14ac:dyDescent="0.35">
      <c r="A176" s="1" t="s">
        <v>240</v>
      </c>
      <c r="B176" s="1" t="s">
        <v>31</v>
      </c>
      <c r="C176" s="2">
        <v>45707</v>
      </c>
      <c r="D176" s="1" t="s">
        <v>50</v>
      </c>
      <c r="E176" s="1" t="s">
        <v>51</v>
      </c>
      <c r="F176">
        <v>4671</v>
      </c>
      <c r="G176">
        <v>876</v>
      </c>
      <c r="H176">
        <v>366</v>
      </c>
      <c r="I176">
        <v>51381</v>
      </c>
      <c r="J176">
        <f>Posts[[#This Row],[Likes]]+Posts[[#This Row],[Shares]]+Posts[[#This Row],[Comments]]</f>
        <v>5913</v>
      </c>
      <c r="K176" s="10">
        <f>Posts[[#This Row],[Engagement]]/Posts[[#This Row],[Impressions]]</f>
        <v>0.11508145034156594</v>
      </c>
      <c r="L176">
        <v>50565</v>
      </c>
      <c r="M176">
        <v>245</v>
      </c>
      <c r="N176" s="1" t="s">
        <v>52</v>
      </c>
      <c r="O176" s="1" t="s">
        <v>19</v>
      </c>
    </row>
    <row r="177" spans="1:15" x14ac:dyDescent="0.35">
      <c r="A177" s="1" t="s">
        <v>241</v>
      </c>
      <c r="B177" s="1" t="s">
        <v>30</v>
      </c>
      <c r="C177" s="2">
        <v>45748</v>
      </c>
      <c r="D177" s="1" t="s">
        <v>57</v>
      </c>
      <c r="E177" s="1" t="s">
        <v>79</v>
      </c>
      <c r="F177">
        <v>3430</v>
      </c>
      <c r="G177">
        <v>566</v>
      </c>
      <c r="H177">
        <v>164</v>
      </c>
      <c r="I177">
        <v>48020</v>
      </c>
      <c r="J177">
        <f>Posts[[#This Row],[Likes]]+Posts[[#This Row],[Shares]]+Posts[[#This Row],[Comments]]</f>
        <v>4160</v>
      </c>
      <c r="K177" s="10">
        <f>Posts[[#This Row],[Engagement]]/Posts[[#This Row],[Impressions]]</f>
        <v>8.6630570595585168E-2</v>
      </c>
      <c r="L177">
        <v>47305</v>
      </c>
      <c r="M177">
        <v>120</v>
      </c>
      <c r="N177" s="1" t="s">
        <v>47</v>
      </c>
      <c r="O177" s="1" t="s">
        <v>80</v>
      </c>
    </row>
    <row r="178" spans="1:15" x14ac:dyDescent="0.35">
      <c r="A178" s="1" t="s">
        <v>242</v>
      </c>
      <c r="B178" s="1" t="s">
        <v>29</v>
      </c>
      <c r="C178" s="2">
        <v>45755</v>
      </c>
      <c r="D178" s="1" t="s">
        <v>67</v>
      </c>
      <c r="E178" s="1" t="s">
        <v>160</v>
      </c>
      <c r="F178">
        <v>4501</v>
      </c>
      <c r="G178">
        <v>375</v>
      </c>
      <c r="H178">
        <v>323</v>
      </c>
      <c r="I178">
        <v>22505</v>
      </c>
      <c r="J178">
        <f>Posts[[#This Row],[Likes]]+Posts[[#This Row],[Shares]]+Posts[[#This Row],[Comments]]</f>
        <v>5199</v>
      </c>
      <c r="K178" s="10">
        <f>Posts[[#This Row],[Engagement]]/Posts[[#This Row],[Impressions]]</f>
        <v>0.23101532992668297</v>
      </c>
      <c r="L178">
        <v>21836</v>
      </c>
      <c r="M178">
        <v>132</v>
      </c>
      <c r="N178" s="1" t="s">
        <v>52</v>
      </c>
      <c r="O178" s="1" t="s">
        <v>11</v>
      </c>
    </row>
    <row r="179" spans="1:15" x14ac:dyDescent="0.35">
      <c r="A179" s="1" t="s">
        <v>243</v>
      </c>
      <c r="B179" s="1" t="s">
        <v>32</v>
      </c>
      <c r="C179" s="2">
        <v>45715</v>
      </c>
      <c r="D179" s="1" t="s">
        <v>50</v>
      </c>
      <c r="E179" s="1" t="s">
        <v>99</v>
      </c>
      <c r="F179">
        <v>4934</v>
      </c>
      <c r="G179">
        <v>971</v>
      </c>
      <c r="H179">
        <v>156</v>
      </c>
      <c r="I179">
        <v>39472</v>
      </c>
      <c r="J179">
        <f>Posts[[#This Row],[Likes]]+Posts[[#This Row],[Shares]]+Posts[[#This Row],[Comments]]</f>
        <v>6061</v>
      </c>
      <c r="K179" s="10">
        <f>Posts[[#This Row],[Engagement]]/Posts[[#This Row],[Impressions]]</f>
        <v>0.15355188488042157</v>
      </c>
      <c r="L179">
        <v>39025</v>
      </c>
      <c r="M179">
        <v>169</v>
      </c>
      <c r="N179" s="1" t="s">
        <v>52</v>
      </c>
      <c r="O179" s="1" t="s">
        <v>19</v>
      </c>
    </row>
    <row r="180" spans="1:15" x14ac:dyDescent="0.35">
      <c r="A180" s="1" t="s">
        <v>243</v>
      </c>
      <c r="B180" s="1" t="s">
        <v>32</v>
      </c>
      <c r="C180" s="2">
        <v>45715</v>
      </c>
      <c r="D180" s="1" t="s">
        <v>50</v>
      </c>
      <c r="E180" s="1" t="s">
        <v>99</v>
      </c>
      <c r="F180">
        <v>4934</v>
      </c>
      <c r="G180">
        <v>971</v>
      </c>
      <c r="H180">
        <v>156</v>
      </c>
      <c r="I180">
        <v>39472</v>
      </c>
      <c r="J180">
        <f>Posts[[#This Row],[Likes]]+Posts[[#This Row],[Shares]]+Posts[[#This Row],[Comments]]</f>
        <v>6061</v>
      </c>
      <c r="K180" s="10">
        <f>Posts[[#This Row],[Engagement]]/Posts[[#This Row],[Impressions]]</f>
        <v>0.15355188488042157</v>
      </c>
      <c r="L180">
        <v>39025</v>
      </c>
      <c r="M180">
        <v>169</v>
      </c>
      <c r="N180" s="1" t="s">
        <v>48</v>
      </c>
      <c r="O180" s="1" t="s">
        <v>19</v>
      </c>
    </row>
    <row r="181" spans="1:15" x14ac:dyDescent="0.35">
      <c r="A181" s="1" t="s">
        <v>244</v>
      </c>
      <c r="B181" s="1" t="s">
        <v>31</v>
      </c>
      <c r="C181" s="2">
        <v>45637</v>
      </c>
      <c r="D181" s="1" t="s">
        <v>50</v>
      </c>
      <c r="E181" s="1" t="s">
        <v>51</v>
      </c>
      <c r="F181">
        <v>3239</v>
      </c>
      <c r="G181">
        <v>43</v>
      </c>
      <c r="H181">
        <v>211</v>
      </c>
      <c r="I181">
        <v>22673</v>
      </c>
      <c r="J181">
        <f>Posts[[#This Row],[Likes]]+Posts[[#This Row],[Shares]]+Posts[[#This Row],[Comments]]</f>
        <v>3493</v>
      </c>
      <c r="K181" s="10">
        <f>Posts[[#This Row],[Engagement]]/Posts[[#This Row],[Impressions]]</f>
        <v>0.15405989502933004</v>
      </c>
      <c r="L181">
        <v>22171</v>
      </c>
      <c r="M181">
        <v>230</v>
      </c>
      <c r="N181" s="1" t="s">
        <v>52</v>
      </c>
      <c r="O181" s="1" t="s">
        <v>11</v>
      </c>
    </row>
    <row r="182" spans="1:15" x14ac:dyDescent="0.35">
      <c r="A182" s="1" t="s">
        <v>245</v>
      </c>
      <c r="B182" s="1" t="s">
        <v>31</v>
      </c>
      <c r="C182" s="2">
        <v>45704</v>
      </c>
      <c r="D182" s="1" t="s">
        <v>45</v>
      </c>
      <c r="E182" s="1" t="s">
        <v>46</v>
      </c>
      <c r="F182">
        <v>1076</v>
      </c>
      <c r="G182">
        <v>313</v>
      </c>
      <c r="H182">
        <v>306</v>
      </c>
      <c r="I182">
        <v>11836</v>
      </c>
      <c r="J182">
        <f>Posts[[#This Row],[Likes]]+Posts[[#This Row],[Shares]]+Posts[[#This Row],[Comments]]</f>
        <v>1695</v>
      </c>
      <c r="K182" s="10">
        <f>Posts[[#This Row],[Engagement]]/Posts[[#This Row],[Impressions]]</f>
        <v>0.14320716458262928</v>
      </c>
      <c r="L182">
        <v>11596</v>
      </c>
      <c r="M182">
        <v>104</v>
      </c>
      <c r="N182" s="1" t="s">
        <v>47</v>
      </c>
      <c r="O182" s="1" t="s">
        <v>7</v>
      </c>
    </row>
    <row r="183" spans="1:15" x14ac:dyDescent="0.35">
      <c r="A183" s="1" t="s">
        <v>246</v>
      </c>
      <c r="B183" s="1" t="s">
        <v>29</v>
      </c>
      <c r="C183" s="2">
        <v>45624</v>
      </c>
      <c r="D183" s="1" t="s">
        <v>50</v>
      </c>
      <c r="E183" s="1" t="s">
        <v>104</v>
      </c>
      <c r="F183">
        <v>4771</v>
      </c>
      <c r="G183">
        <v>818</v>
      </c>
      <c r="H183">
        <v>56</v>
      </c>
      <c r="I183">
        <v>57252</v>
      </c>
      <c r="J183">
        <f>Posts[[#This Row],[Likes]]+Posts[[#This Row],[Shares]]+Posts[[#This Row],[Comments]]</f>
        <v>5645</v>
      </c>
      <c r="K183" s="10">
        <f>Posts[[#This Row],[Engagement]]/Posts[[#This Row],[Impressions]]</f>
        <v>9.859917557465242E-2</v>
      </c>
      <c r="L183">
        <v>56378</v>
      </c>
      <c r="M183">
        <v>150</v>
      </c>
      <c r="N183" s="1" t="s">
        <v>47</v>
      </c>
      <c r="O183" s="1" t="s">
        <v>80</v>
      </c>
    </row>
    <row r="184" spans="1:15" x14ac:dyDescent="0.35">
      <c r="A184" s="1" t="s">
        <v>247</v>
      </c>
      <c r="B184" s="1" t="s">
        <v>30</v>
      </c>
      <c r="C184" s="2">
        <v>45608</v>
      </c>
      <c r="D184" s="1" t="s">
        <v>50</v>
      </c>
      <c r="E184" s="1" t="s">
        <v>70</v>
      </c>
      <c r="F184">
        <v>2418</v>
      </c>
      <c r="G184">
        <v>754</v>
      </c>
      <c r="H184">
        <v>54</v>
      </c>
      <c r="I184">
        <v>43524</v>
      </c>
      <c r="J184">
        <f>Posts[[#This Row],[Likes]]+Posts[[#This Row],[Shares]]+Posts[[#This Row],[Comments]]</f>
        <v>3226</v>
      </c>
      <c r="K184" s="10">
        <f>Posts[[#This Row],[Engagement]]/Posts[[#This Row],[Impressions]]</f>
        <v>7.412002573292896E-2</v>
      </c>
      <c r="L184">
        <v>42743</v>
      </c>
      <c r="M184">
        <v>182</v>
      </c>
      <c r="N184" s="1" t="s">
        <v>59</v>
      </c>
      <c r="O184" s="1" t="s">
        <v>7</v>
      </c>
    </row>
    <row r="185" spans="1:15" x14ac:dyDescent="0.35">
      <c r="A185" s="1" t="s">
        <v>248</v>
      </c>
      <c r="B185" s="1" t="s">
        <v>32</v>
      </c>
      <c r="C185" s="2">
        <v>45629</v>
      </c>
      <c r="D185" s="1" t="s">
        <v>82</v>
      </c>
      <c r="E185" s="1" t="s">
        <v>162</v>
      </c>
      <c r="F185">
        <v>3809</v>
      </c>
      <c r="G185">
        <v>273</v>
      </c>
      <c r="H185">
        <v>200</v>
      </c>
      <c r="I185">
        <v>34281</v>
      </c>
      <c r="J185">
        <f>Posts[[#This Row],[Likes]]+Posts[[#This Row],[Shares]]+Posts[[#This Row],[Comments]]</f>
        <v>4282</v>
      </c>
      <c r="K185" s="10">
        <f>Posts[[#This Row],[Engagement]]/Posts[[#This Row],[Impressions]]</f>
        <v>0.12490884163239112</v>
      </c>
      <c r="L185">
        <v>33534</v>
      </c>
      <c r="M185">
        <v>83</v>
      </c>
      <c r="N185" s="1" t="s">
        <v>59</v>
      </c>
      <c r="O185" s="1" t="s">
        <v>7</v>
      </c>
    </row>
    <row r="186" spans="1:15" x14ac:dyDescent="0.35">
      <c r="A186" s="1" t="s">
        <v>249</v>
      </c>
      <c r="B186" s="1" t="s">
        <v>31</v>
      </c>
      <c r="C186" s="2">
        <v>45775</v>
      </c>
      <c r="D186" s="1" t="s">
        <v>50</v>
      </c>
      <c r="E186" s="1" t="s">
        <v>51</v>
      </c>
      <c r="F186">
        <v>3577</v>
      </c>
      <c r="G186">
        <v>596</v>
      </c>
      <c r="H186">
        <v>493</v>
      </c>
      <c r="I186">
        <v>67963</v>
      </c>
      <c r="J186">
        <f>Posts[[#This Row],[Likes]]+Posts[[#This Row],[Shares]]+Posts[[#This Row],[Comments]]</f>
        <v>4666</v>
      </c>
      <c r="K186" s="10">
        <f>Posts[[#This Row],[Engagement]]/Posts[[#This Row],[Impressions]]</f>
        <v>6.8655003457763777E-2</v>
      </c>
      <c r="L186">
        <v>67839</v>
      </c>
      <c r="M186">
        <v>53</v>
      </c>
      <c r="N186" s="1" t="s">
        <v>52</v>
      </c>
      <c r="O186" s="1" t="s">
        <v>15</v>
      </c>
    </row>
    <row r="187" spans="1:15" x14ac:dyDescent="0.35">
      <c r="A187" s="1" t="s">
        <v>250</v>
      </c>
      <c r="B187" s="1" t="s">
        <v>32</v>
      </c>
      <c r="C187" s="2">
        <v>45657</v>
      </c>
      <c r="D187" s="1" t="s">
        <v>82</v>
      </c>
      <c r="E187" s="1" t="s">
        <v>162</v>
      </c>
      <c r="F187">
        <v>1018</v>
      </c>
      <c r="G187">
        <v>447</v>
      </c>
      <c r="H187">
        <v>332</v>
      </c>
      <c r="I187">
        <v>18324</v>
      </c>
      <c r="J187">
        <f>Posts[[#This Row],[Likes]]+Posts[[#This Row],[Shares]]+Posts[[#This Row],[Comments]]</f>
        <v>1797</v>
      </c>
      <c r="K187" s="10">
        <f>Posts[[#This Row],[Engagement]]/Posts[[#This Row],[Impressions]]</f>
        <v>9.8068107400130972E-2</v>
      </c>
      <c r="L187">
        <v>18164</v>
      </c>
      <c r="M187">
        <v>38</v>
      </c>
      <c r="N187" s="1" t="s">
        <v>47</v>
      </c>
      <c r="O187" s="1" t="s">
        <v>11</v>
      </c>
    </row>
    <row r="188" spans="1:15" x14ac:dyDescent="0.35">
      <c r="A188" s="1" t="s">
        <v>251</v>
      </c>
      <c r="B188" s="1" t="s">
        <v>30</v>
      </c>
      <c r="C188" s="2">
        <v>45518</v>
      </c>
      <c r="D188" s="1" t="s">
        <v>62</v>
      </c>
      <c r="E188" s="1" t="s">
        <v>63</v>
      </c>
      <c r="F188">
        <v>3073</v>
      </c>
      <c r="G188">
        <v>553</v>
      </c>
      <c r="H188">
        <v>174</v>
      </c>
      <c r="I188">
        <v>52241</v>
      </c>
      <c r="J188">
        <f>Posts[[#This Row],[Likes]]+Posts[[#This Row],[Shares]]+Posts[[#This Row],[Comments]]</f>
        <v>3800</v>
      </c>
      <c r="K188" s="10">
        <f>Posts[[#This Row],[Engagement]]/Posts[[#This Row],[Impressions]]</f>
        <v>7.2739802071170159E-2</v>
      </c>
      <c r="L188">
        <v>51605</v>
      </c>
      <c r="M188">
        <v>246</v>
      </c>
      <c r="N188" s="1" t="s">
        <v>59</v>
      </c>
      <c r="O188" s="1" t="s">
        <v>15</v>
      </c>
    </row>
    <row r="189" spans="1:15" x14ac:dyDescent="0.35">
      <c r="A189" s="1" t="s">
        <v>252</v>
      </c>
      <c r="B189" s="1" t="s">
        <v>31</v>
      </c>
      <c r="C189" s="2">
        <v>45631</v>
      </c>
      <c r="D189" s="1" t="s">
        <v>82</v>
      </c>
      <c r="E189" s="1" t="s">
        <v>121</v>
      </c>
      <c r="F189">
        <v>1330</v>
      </c>
      <c r="G189">
        <v>925</v>
      </c>
      <c r="H189">
        <v>35</v>
      </c>
      <c r="I189">
        <v>15960</v>
      </c>
      <c r="J189">
        <f>Posts[[#This Row],[Likes]]+Posts[[#This Row],[Shares]]+Posts[[#This Row],[Comments]]</f>
        <v>2290</v>
      </c>
      <c r="K189" s="10">
        <f>Posts[[#This Row],[Engagement]]/Posts[[#This Row],[Impressions]]</f>
        <v>0.14348370927318296</v>
      </c>
      <c r="L189">
        <v>15379</v>
      </c>
      <c r="M189">
        <v>229</v>
      </c>
      <c r="N189" s="1" t="s">
        <v>47</v>
      </c>
      <c r="O189" s="1" t="s">
        <v>15</v>
      </c>
    </row>
    <row r="190" spans="1:15" x14ac:dyDescent="0.35">
      <c r="A190" s="1" t="s">
        <v>253</v>
      </c>
      <c r="B190" s="1" t="s">
        <v>30</v>
      </c>
      <c r="C190" s="2">
        <v>45465</v>
      </c>
      <c r="D190" s="1" t="s">
        <v>50</v>
      </c>
      <c r="E190" s="1" t="s">
        <v>70</v>
      </c>
      <c r="F190">
        <v>3828</v>
      </c>
      <c r="G190">
        <v>148</v>
      </c>
      <c r="H190">
        <v>253</v>
      </c>
      <c r="I190">
        <v>30624</v>
      </c>
      <c r="J190">
        <f>Posts[[#This Row],[Likes]]+Posts[[#This Row],[Shares]]+Posts[[#This Row],[Comments]]</f>
        <v>4229</v>
      </c>
      <c r="K190" s="10">
        <f>Posts[[#This Row],[Engagement]]/Posts[[#This Row],[Impressions]]</f>
        <v>0.13809430512016718</v>
      </c>
      <c r="L190">
        <v>30229</v>
      </c>
      <c r="M190">
        <v>235</v>
      </c>
      <c r="N190" s="1" t="s">
        <v>59</v>
      </c>
      <c r="O190" s="1" t="s">
        <v>80</v>
      </c>
    </row>
    <row r="191" spans="1:15" x14ac:dyDescent="0.35">
      <c r="A191" s="1" t="s">
        <v>254</v>
      </c>
      <c r="B191" s="1" t="s">
        <v>29</v>
      </c>
      <c r="C191" s="2">
        <v>45674</v>
      </c>
      <c r="D191" s="1" t="s">
        <v>45</v>
      </c>
      <c r="E191" s="1" t="s">
        <v>87</v>
      </c>
      <c r="F191">
        <v>142</v>
      </c>
      <c r="G191">
        <v>784</v>
      </c>
      <c r="H191">
        <v>183</v>
      </c>
      <c r="I191">
        <v>1704</v>
      </c>
      <c r="J191">
        <f>Posts[[#This Row],[Likes]]+Posts[[#This Row],[Shares]]+Posts[[#This Row],[Comments]]</f>
        <v>1109</v>
      </c>
      <c r="K191" s="10">
        <f>Posts[[#This Row],[Engagement]]/Posts[[#This Row],[Impressions]]</f>
        <v>0.6508215962441315</v>
      </c>
      <c r="L191">
        <v>995</v>
      </c>
      <c r="M191">
        <v>154</v>
      </c>
      <c r="N191" s="1" t="s">
        <v>47</v>
      </c>
      <c r="O191" s="1" t="s">
        <v>19</v>
      </c>
    </row>
    <row r="192" spans="1:15" x14ac:dyDescent="0.35">
      <c r="A192" s="1" t="s">
        <v>255</v>
      </c>
      <c r="B192" s="1" t="s">
        <v>30</v>
      </c>
      <c r="C192" s="2">
        <v>45463</v>
      </c>
      <c r="D192" s="1" t="s">
        <v>82</v>
      </c>
      <c r="E192" s="1" t="s">
        <v>83</v>
      </c>
      <c r="F192">
        <v>3798</v>
      </c>
      <c r="G192">
        <v>31</v>
      </c>
      <c r="H192">
        <v>279</v>
      </c>
      <c r="I192">
        <v>75960</v>
      </c>
      <c r="J192">
        <f>Posts[[#This Row],[Likes]]+Posts[[#This Row],[Shares]]+Posts[[#This Row],[Comments]]</f>
        <v>4108</v>
      </c>
      <c r="K192" s="10">
        <f>Posts[[#This Row],[Engagement]]/Posts[[#This Row],[Impressions]]</f>
        <v>5.4081095313322801E-2</v>
      </c>
      <c r="L192">
        <v>75813</v>
      </c>
      <c r="M192">
        <v>266</v>
      </c>
      <c r="N192" s="1" t="s">
        <v>52</v>
      </c>
      <c r="O192" s="1" t="s">
        <v>7</v>
      </c>
    </row>
    <row r="193" spans="1:15" x14ac:dyDescent="0.35">
      <c r="A193" s="1" t="s">
        <v>256</v>
      </c>
      <c r="B193" s="1" t="s">
        <v>29</v>
      </c>
      <c r="C193" s="2">
        <v>45483</v>
      </c>
      <c r="D193" s="1" t="s">
        <v>62</v>
      </c>
      <c r="E193" s="1" t="s">
        <v>91</v>
      </c>
      <c r="F193">
        <v>3099</v>
      </c>
      <c r="G193">
        <v>694</v>
      </c>
      <c r="H193">
        <v>171</v>
      </c>
      <c r="I193">
        <v>43386</v>
      </c>
      <c r="J193">
        <f>Posts[[#This Row],[Likes]]+Posts[[#This Row],[Shares]]+Posts[[#This Row],[Comments]]</f>
        <v>3964</v>
      </c>
      <c r="K193" s="10">
        <f>Posts[[#This Row],[Engagement]]/Posts[[#This Row],[Impressions]]</f>
        <v>9.1365878393951966E-2</v>
      </c>
      <c r="L193">
        <v>42921</v>
      </c>
      <c r="M193">
        <v>52</v>
      </c>
      <c r="N193" s="1" t="s">
        <v>52</v>
      </c>
      <c r="O193" s="1" t="s">
        <v>15</v>
      </c>
    </row>
    <row r="194" spans="1:15" x14ac:dyDescent="0.35">
      <c r="A194" s="1" t="s">
        <v>257</v>
      </c>
      <c r="B194" s="1" t="s">
        <v>29</v>
      </c>
      <c r="C194" s="2">
        <v>45603</v>
      </c>
      <c r="D194" s="1" t="s">
        <v>82</v>
      </c>
      <c r="E194" s="1" t="s">
        <v>89</v>
      </c>
      <c r="F194">
        <v>129</v>
      </c>
      <c r="G194">
        <v>643</v>
      </c>
      <c r="H194">
        <v>136</v>
      </c>
      <c r="I194">
        <v>1290</v>
      </c>
      <c r="J194">
        <f>Posts[[#This Row],[Likes]]+Posts[[#This Row],[Shares]]+Posts[[#This Row],[Comments]]</f>
        <v>908</v>
      </c>
      <c r="K194" s="10">
        <f>Posts[[#This Row],[Engagement]]/Posts[[#This Row],[Impressions]]</f>
        <v>0.70387596899224802</v>
      </c>
      <c r="L194">
        <v>839</v>
      </c>
      <c r="M194">
        <v>238</v>
      </c>
      <c r="N194" s="1" t="s">
        <v>52</v>
      </c>
      <c r="O194" s="1" t="s">
        <v>19</v>
      </c>
    </row>
    <row r="195" spans="1:15" x14ac:dyDescent="0.35">
      <c r="A195" s="1" t="s">
        <v>258</v>
      </c>
      <c r="B195" s="1" t="s">
        <v>30</v>
      </c>
      <c r="C195" s="2">
        <v>45488</v>
      </c>
      <c r="D195" s="1" t="s">
        <v>62</v>
      </c>
      <c r="E195" s="1" t="s">
        <v>63</v>
      </c>
      <c r="F195">
        <v>3796</v>
      </c>
      <c r="G195">
        <v>667</v>
      </c>
      <c r="H195">
        <v>395</v>
      </c>
      <c r="I195">
        <v>64532</v>
      </c>
      <c r="J195">
        <f>Posts[[#This Row],[Likes]]+Posts[[#This Row],[Shares]]+Posts[[#This Row],[Comments]]</f>
        <v>4858</v>
      </c>
      <c r="K195" s="10">
        <f>Posts[[#This Row],[Engagement]]/Posts[[#This Row],[Impressions]]</f>
        <v>7.5280481001673588E-2</v>
      </c>
      <c r="L195">
        <v>63550</v>
      </c>
      <c r="M195">
        <v>292</v>
      </c>
      <c r="N195" s="1" t="s">
        <v>52</v>
      </c>
      <c r="O195" s="1" t="s">
        <v>80</v>
      </c>
    </row>
    <row r="196" spans="1:15" x14ac:dyDescent="0.35">
      <c r="A196" s="1" t="s">
        <v>259</v>
      </c>
      <c r="B196" s="1" t="s">
        <v>32</v>
      </c>
      <c r="C196" s="2">
        <v>45629</v>
      </c>
      <c r="D196" s="1" t="s">
        <v>50</v>
      </c>
      <c r="E196" s="1" t="s">
        <v>99</v>
      </c>
      <c r="F196">
        <v>3711</v>
      </c>
      <c r="G196">
        <v>352</v>
      </c>
      <c r="H196">
        <v>290</v>
      </c>
      <c r="I196">
        <v>48243</v>
      </c>
      <c r="J196">
        <f>Posts[[#This Row],[Likes]]+Posts[[#This Row],[Shares]]+Posts[[#This Row],[Comments]]</f>
        <v>4353</v>
      </c>
      <c r="K196" s="10">
        <f>Posts[[#This Row],[Engagement]]/Posts[[#This Row],[Impressions]]</f>
        <v>9.023070704558174E-2</v>
      </c>
      <c r="L196">
        <v>47579</v>
      </c>
      <c r="M196">
        <v>11</v>
      </c>
      <c r="N196" s="1" t="s">
        <v>52</v>
      </c>
      <c r="O196" s="1" t="s">
        <v>7</v>
      </c>
    </row>
    <row r="197" spans="1:15" x14ac:dyDescent="0.35">
      <c r="A197" s="1" t="s">
        <v>260</v>
      </c>
      <c r="B197" s="1" t="s">
        <v>32</v>
      </c>
      <c r="C197" s="2">
        <v>45737</v>
      </c>
      <c r="D197" s="1" t="s">
        <v>67</v>
      </c>
      <c r="E197" s="1" t="s">
        <v>68</v>
      </c>
      <c r="F197">
        <v>606</v>
      </c>
      <c r="G197">
        <v>789</v>
      </c>
      <c r="H197">
        <v>470</v>
      </c>
      <c r="I197">
        <v>7878</v>
      </c>
      <c r="J197">
        <f>Posts[[#This Row],[Likes]]+Posts[[#This Row],[Shares]]+Posts[[#This Row],[Comments]]</f>
        <v>1865</v>
      </c>
      <c r="K197" s="10">
        <f>Posts[[#This Row],[Engagement]]/Posts[[#This Row],[Impressions]]</f>
        <v>0.23673521198273673</v>
      </c>
      <c r="L197">
        <v>7389</v>
      </c>
      <c r="M197">
        <v>239</v>
      </c>
      <c r="N197" s="1" t="s">
        <v>59</v>
      </c>
      <c r="O197" s="1" t="s">
        <v>15</v>
      </c>
    </row>
    <row r="198" spans="1:15" x14ac:dyDescent="0.35">
      <c r="A198" s="1" t="s">
        <v>261</v>
      </c>
      <c r="B198" s="1" t="s">
        <v>30</v>
      </c>
      <c r="C198" s="2">
        <v>45504</v>
      </c>
      <c r="D198" s="1" t="s">
        <v>67</v>
      </c>
      <c r="E198" s="1" t="s">
        <v>72</v>
      </c>
      <c r="F198">
        <v>4689</v>
      </c>
      <c r="G198">
        <v>134</v>
      </c>
      <c r="H198">
        <v>403</v>
      </c>
      <c r="I198">
        <v>51579</v>
      </c>
      <c r="J198">
        <f>Posts[[#This Row],[Likes]]+Posts[[#This Row],[Shares]]+Posts[[#This Row],[Comments]]</f>
        <v>5226</v>
      </c>
      <c r="K198" s="10">
        <f>Posts[[#This Row],[Engagement]]/Posts[[#This Row],[Impressions]]</f>
        <v>0.10132030477519921</v>
      </c>
      <c r="L198">
        <v>50924</v>
      </c>
      <c r="M198">
        <v>173</v>
      </c>
      <c r="N198" s="1" t="s">
        <v>52</v>
      </c>
      <c r="O198" s="1" t="s">
        <v>19</v>
      </c>
    </row>
    <row r="199" spans="1:15" x14ac:dyDescent="0.35">
      <c r="A199" s="1" t="s">
        <v>262</v>
      </c>
      <c r="B199" s="1" t="s">
        <v>29</v>
      </c>
      <c r="C199" s="2">
        <v>45643</v>
      </c>
      <c r="D199" s="1" t="s">
        <v>57</v>
      </c>
      <c r="E199" s="1" t="s">
        <v>58</v>
      </c>
      <c r="F199">
        <v>360</v>
      </c>
      <c r="G199">
        <v>590</v>
      </c>
      <c r="H199">
        <v>393</v>
      </c>
      <c r="I199">
        <v>4680</v>
      </c>
      <c r="J199">
        <f>Posts[[#This Row],[Likes]]+Posts[[#This Row],[Shares]]+Posts[[#This Row],[Comments]]</f>
        <v>1343</v>
      </c>
      <c r="K199" s="10">
        <f>Posts[[#This Row],[Engagement]]/Posts[[#This Row],[Impressions]]</f>
        <v>0.28696581196581195</v>
      </c>
      <c r="L199">
        <v>4322</v>
      </c>
      <c r="M199">
        <v>208</v>
      </c>
      <c r="N199" s="1" t="s">
        <v>47</v>
      </c>
      <c r="O199" s="1" t="s">
        <v>11</v>
      </c>
    </row>
    <row r="200" spans="1:15" x14ac:dyDescent="0.35">
      <c r="A200" s="1" t="s">
        <v>263</v>
      </c>
      <c r="B200" s="1" t="s">
        <v>31</v>
      </c>
      <c r="C200" s="2">
        <v>45501</v>
      </c>
      <c r="D200" s="1" t="s">
        <v>67</v>
      </c>
      <c r="E200" s="1" t="s">
        <v>114</v>
      </c>
      <c r="F200">
        <v>3215</v>
      </c>
      <c r="G200">
        <v>960</v>
      </c>
      <c r="H200">
        <v>202</v>
      </c>
      <c r="I200">
        <v>32150</v>
      </c>
      <c r="J200">
        <f>Posts[[#This Row],[Likes]]+Posts[[#This Row],[Shares]]+Posts[[#This Row],[Comments]]</f>
        <v>4377</v>
      </c>
      <c r="K200" s="10">
        <f>Posts[[#This Row],[Engagement]]/Posts[[#This Row],[Impressions]]</f>
        <v>0.13614307931570763</v>
      </c>
      <c r="L200">
        <v>31404</v>
      </c>
      <c r="M200">
        <v>251</v>
      </c>
      <c r="N200" s="1" t="s">
        <v>59</v>
      </c>
      <c r="O200" s="1" t="s">
        <v>7</v>
      </c>
    </row>
    <row r="201" spans="1:15" x14ac:dyDescent="0.35">
      <c r="A201" s="1" t="s">
        <v>264</v>
      </c>
      <c r="B201" s="1" t="s">
        <v>29</v>
      </c>
      <c r="C201" s="2">
        <v>45668</v>
      </c>
      <c r="D201" s="1" t="s">
        <v>62</v>
      </c>
      <c r="E201" s="1" t="s">
        <v>91</v>
      </c>
      <c r="F201">
        <v>4523</v>
      </c>
      <c r="G201">
        <v>61</v>
      </c>
      <c r="H201">
        <v>157</v>
      </c>
      <c r="I201">
        <v>49753</v>
      </c>
      <c r="J201">
        <f>Posts[[#This Row],[Likes]]+Posts[[#This Row],[Shares]]+Posts[[#This Row],[Comments]]</f>
        <v>4741</v>
      </c>
      <c r="K201" s="10">
        <f>Posts[[#This Row],[Engagement]]/Posts[[#This Row],[Impressions]]</f>
        <v>9.5290736237010829E-2</v>
      </c>
      <c r="L201">
        <v>49329</v>
      </c>
      <c r="M201">
        <v>71</v>
      </c>
      <c r="N201" s="1" t="s">
        <v>59</v>
      </c>
      <c r="O201" s="1" t="s">
        <v>80</v>
      </c>
    </row>
    <row r="202" spans="1:15" x14ac:dyDescent="0.35">
      <c r="A202" s="1" t="s">
        <v>265</v>
      </c>
      <c r="B202" s="1" t="s">
        <v>30</v>
      </c>
      <c r="C202" s="2">
        <v>45528</v>
      </c>
      <c r="D202" s="1" t="s">
        <v>62</v>
      </c>
      <c r="E202" s="1" t="s">
        <v>63</v>
      </c>
      <c r="F202">
        <v>4292</v>
      </c>
      <c r="G202">
        <v>51</v>
      </c>
      <c r="H202">
        <v>392</v>
      </c>
      <c r="I202">
        <v>55796</v>
      </c>
      <c r="J202">
        <f>Posts[[#This Row],[Likes]]+Posts[[#This Row],[Shares]]+Posts[[#This Row],[Comments]]</f>
        <v>4735</v>
      </c>
      <c r="K202" s="10">
        <f>Posts[[#This Row],[Engagement]]/Posts[[#This Row],[Impressions]]</f>
        <v>8.4862714173059003E-2</v>
      </c>
      <c r="L202">
        <v>54826</v>
      </c>
      <c r="M202">
        <v>264</v>
      </c>
      <c r="N202" s="1" t="s">
        <v>59</v>
      </c>
      <c r="O202" s="1" t="s">
        <v>15</v>
      </c>
    </row>
    <row r="203" spans="1:15" x14ac:dyDescent="0.35">
      <c r="A203" s="1" t="s">
        <v>266</v>
      </c>
      <c r="B203" s="1" t="s">
        <v>31</v>
      </c>
      <c r="C203" s="2">
        <v>45648</v>
      </c>
      <c r="D203" s="1" t="s">
        <v>45</v>
      </c>
      <c r="E203" s="1" t="s">
        <v>46</v>
      </c>
      <c r="F203">
        <v>1644</v>
      </c>
      <c r="G203">
        <v>546</v>
      </c>
      <c r="H203">
        <v>150</v>
      </c>
      <c r="I203">
        <v>27948</v>
      </c>
      <c r="J203">
        <f>Posts[[#This Row],[Likes]]+Posts[[#This Row],[Shares]]+Posts[[#This Row],[Comments]]</f>
        <v>2340</v>
      </c>
      <c r="K203" s="10">
        <f>Posts[[#This Row],[Engagement]]/Posts[[#This Row],[Impressions]]</f>
        <v>8.3726921425504502E-2</v>
      </c>
      <c r="L203">
        <v>27184</v>
      </c>
      <c r="M203">
        <v>300</v>
      </c>
      <c r="N203" s="1" t="s">
        <v>59</v>
      </c>
      <c r="O203" s="1" t="s">
        <v>15</v>
      </c>
    </row>
    <row r="204" spans="1:15" x14ac:dyDescent="0.35">
      <c r="A204" s="1" t="s">
        <v>267</v>
      </c>
      <c r="B204" s="1" t="s">
        <v>32</v>
      </c>
      <c r="C204" s="2">
        <v>45449</v>
      </c>
      <c r="D204" s="1" t="s">
        <v>45</v>
      </c>
      <c r="E204" s="1" t="s">
        <v>55</v>
      </c>
      <c r="F204">
        <v>2728</v>
      </c>
      <c r="G204">
        <v>533</v>
      </c>
      <c r="H204">
        <v>215</v>
      </c>
      <c r="I204">
        <v>40920</v>
      </c>
      <c r="J204">
        <f>Posts[[#This Row],[Likes]]+Posts[[#This Row],[Shares]]+Posts[[#This Row],[Comments]]</f>
        <v>3476</v>
      </c>
      <c r="K204" s="10">
        <f>Posts[[#This Row],[Engagement]]/Posts[[#This Row],[Impressions]]</f>
        <v>8.4946236559139784E-2</v>
      </c>
      <c r="L204">
        <v>40816</v>
      </c>
      <c r="M204">
        <v>137</v>
      </c>
      <c r="N204" s="1" t="s">
        <v>47</v>
      </c>
      <c r="O204" s="1" t="s">
        <v>11</v>
      </c>
    </row>
    <row r="205" spans="1:15" x14ac:dyDescent="0.35">
      <c r="A205" s="1" t="s">
        <v>268</v>
      </c>
      <c r="B205" s="1" t="s">
        <v>30</v>
      </c>
      <c r="C205" s="2">
        <v>45740</v>
      </c>
      <c r="D205" s="1" t="s">
        <v>45</v>
      </c>
      <c r="E205" s="1" t="s">
        <v>75</v>
      </c>
      <c r="F205">
        <v>3360</v>
      </c>
      <c r="G205">
        <v>525</v>
      </c>
      <c r="H205">
        <v>500</v>
      </c>
      <c r="I205">
        <v>60480</v>
      </c>
      <c r="J205">
        <f>Posts[[#This Row],[Likes]]+Posts[[#This Row],[Shares]]+Posts[[#This Row],[Comments]]</f>
        <v>4385</v>
      </c>
      <c r="K205" s="10">
        <f>Posts[[#This Row],[Engagement]]/Posts[[#This Row],[Impressions]]</f>
        <v>7.2503306878306875E-2</v>
      </c>
      <c r="L205">
        <v>59610</v>
      </c>
      <c r="M205">
        <v>192</v>
      </c>
      <c r="N205" s="1" t="s">
        <v>52</v>
      </c>
      <c r="O205" s="1" t="s">
        <v>7</v>
      </c>
    </row>
    <row r="206" spans="1:15" x14ac:dyDescent="0.35">
      <c r="A206" s="1" t="s">
        <v>269</v>
      </c>
      <c r="B206" s="1" t="s">
        <v>32</v>
      </c>
      <c r="C206" s="2">
        <v>45569</v>
      </c>
      <c r="D206" s="1" t="s">
        <v>50</v>
      </c>
      <c r="E206" s="1" t="s">
        <v>99</v>
      </c>
      <c r="F206">
        <v>1963</v>
      </c>
      <c r="G206">
        <v>213</v>
      </c>
      <c r="H206">
        <v>19</v>
      </c>
      <c r="I206">
        <v>39260</v>
      </c>
      <c r="J206">
        <f>Posts[[#This Row],[Likes]]+Posts[[#This Row],[Shares]]+Posts[[#This Row],[Comments]]</f>
        <v>2195</v>
      </c>
      <c r="K206" s="10">
        <f>Posts[[#This Row],[Engagement]]/Posts[[#This Row],[Impressions]]</f>
        <v>5.5909322465613857E-2</v>
      </c>
      <c r="L206">
        <v>38771</v>
      </c>
      <c r="M206">
        <v>145</v>
      </c>
      <c r="N206" s="1" t="s">
        <v>47</v>
      </c>
      <c r="O206" s="1" t="s">
        <v>80</v>
      </c>
    </row>
    <row r="207" spans="1:15" x14ac:dyDescent="0.35">
      <c r="A207" s="1" t="s">
        <v>270</v>
      </c>
      <c r="B207" s="1" t="s">
        <v>32</v>
      </c>
      <c r="C207" s="2">
        <v>45629</v>
      </c>
      <c r="D207" s="1" t="s">
        <v>57</v>
      </c>
      <c r="E207" s="1" t="s">
        <v>127</v>
      </c>
      <c r="F207">
        <v>4285</v>
      </c>
      <c r="G207">
        <v>886</v>
      </c>
      <c r="H207">
        <v>376</v>
      </c>
      <c r="I207">
        <v>55705</v>
      </c>
      <c r="J207">
        <f>Posts[[#This Row],[Likes]]+Posts[[#This Row],[Shares]]+Posts[[#This Row],[Comments]]</f>
        <v>5547</v>
      </c>
      <c r="K207" s="10">
        <f>Posts[[#This Row],[Engagement]]/Posts[[#This Row],[Impressions]]</f>
        <v>9.9578134817341346E-2</v>
      </c>
      <c r="L207">
        <v>55556</v>
      </c>
      <c r="M207">
        <v>51</v>
      </c>
      <c r="N207" s="1" t="s">
        <v>47</v>
      </c>
      <c r="O207" s="1" t="s">
        <v>15</v>
      </c>
    </row>
    <row r="208" spans="1:15" x14ac:dyDescent="0.35">
      <c r="A208" s="1" t="s">
        <v>271</v>
      </c>
      <c r="B208" s="1" t="s">
        <v>29</v>
      </c>
      <c r="C208" s="2">
        <v>45625</v>
      </c>
      <c r="D208" s="1" t="s">
        <v>82</v>
      </c>
      <c r="E208" s="1" t="s">
        <v>89</v>
      </c>
      <c r="F208">
        <v>1176</v>
      </c>
      <c r="G208">
        <v>464</v>
      </c>
      <c r="H208">
        <v>394</v>
      </c>
      <c r="I208">
        <v>14112</v>
      </c>
      <c r="J208">
        <f>Posts[[#This Row],[Likes]]+Posts[[#This Row],[Shares]]+Posts[[#This Row],[Comments]]</f>
        <v>2034</v>
      </c>
      <c r="K208" s="10">
        <f>Posts[[#This Row],[Engagement]]/Posts[[#This Row],[Impressions]]</f>
        <v>0.1441326530612245</v>
      </c>
      <c r="L208">
        <v>13588</v>
      </c>
      <c r="M208">
        <v>272</v>
      </c>
      <c r="N208" s="1" t="s">
        <v>59</v>
      </c>
      <c r="O208" s="1" t="s">
        <v>80</v>
      </c>
    </row>
    <row r="209" spans="1:15" x14ac:dyDescent="0.35">
      <c r="A209" s="1" t="s">
        <v>272</v>
      </c>
      <c r="B209" s="1" t="s">
        <v>31</v>
      </c>
      <c r="C209" s="2">
        <v>45546</v>
      </c>
      <c r="D209" s="1" t="s">
        <v>67</v>
      </c>
      <c r="E209" s="1" t="s">
        <v>114</v>
      </c>
      <c r="F209">
        <v>4858</v>
      </c>
      <c r="G209">
        <v>317</v>
      </c>
      <c r="H209">
        <v>129</v>
      </c>
      <c r="I209">
        <v>53438</v>
      </c>
      <c r="J209">
        <f>Posts[[#This Row],[Likes]]+Posts[[#This Row],[Shares]]+Posts[[#This Row],[Comments]]</f>
        <v>5304</v>
      </c>
      <c r="K209" s="10">
        <f>Posts[[#This Row],[Engagement]]/Posts[[#This Row],[Impressions]]</f>
        <v>9.9255211647142488E-2</v>
      </c>
      <c r="L209">
        <v>52687</v>
      </c>
      <c r="M209">
        <v>223</v>
      </c>
      <c r="N209" s="1" t="s">
        <v>59</v>
      </c>
      <c r="O209" s="1" t="s">
        <v>15</v>
      </c>
    </row>
    <row r="210" spans="1:15" x14ac:dyDescent="0.35">
      <c r="A210" s="1" t="s">
        <v>273</v>
      </c>
      <c r="B210" s="1" t="s">
        <v>32</v>
      </c>
      <c r="C210" s="2">
        <v>45567</v>
      </c>
      <c r="D210" s="1" t="s">
        <v>57</v>
      </c>
      <c r="E210" s="1" t="s">
        <v>127</v>
      </c>
      <c r="F210">
        <v>4350</v>
      </c>
      <c r="G210">
        <v>771</v>
      </c>
      <c r="H210">
        <v>7</v>
      </c>
      <c r="I210">
        <v>60900</v>
      </c>
      <c r="J210">
        <f>Posts[[#This Row],[Likes]]+Posts[[#This Row],[Shares]]+Posts[[#This Row],[Comments]]</f>
        <v>5128</v>
      </c>
      <c r="K210" s="10">
        <f>Posts[[#This Row],[Engagement]]/Posts[[#This Row],[Impressions]]</f>
        <v>8.4203612479474554E-2</v>
      </c>
      <c r="L210">
        <v>60592</v>
      </c>
      <c r="M210">
        <v>195</v>
      </c>
      <c r="N210" s="1" t="s">
        <v>59</v>
      </c>
      <c r="O210" s="1" t="s">
        <v>7</v>
      </c>
    </row>
    <row r="211" spans="1:15" x14ac:dyDescent="0.35">
      <c r="A211" s="1" t="s">
        <v>274</v>
      </c>
      <c r="B211" s="1" t="s">
        <v>29</v>
      </c>
      <c r="C211" s="2">
        <v>45519</v>
      </c>
      <c r="D211" s="1" t="s">
        <v>62</v>
      </c>
      <c r="E211" s="1" t="s">
        <v>91</v>
      </c>
      <c r="F211">
        <v>914</v>
      </c>
      <c r="G211">
        <v>464</v>
      </c>
      <c r="H211">
        <v>246</v>
      </c>
      <c r="I211">
        <v>11882</v>
      </c>
      <c r="J211">
        <f>Posts[[#This Row],[Likes]]+Posts[[#This Row],[Shares]]+Posts[[#This Row],[Comments]]</f>
        <v>1624</v>
      </c>
      <c r="K211" s="10">
        <f>Posts[[#This Row],[Engagement]]/Posts[[#This Row],[Impressions]]</f>
        <v>0.13667732704931829</v>
      </c>
      <c r="L211">
        <v>11500</v>
      </c>
      <c r="M211">
        <v>282</v>
      </c>
      <c r="N211" s="1" t="s">
        <v>47</v>
      </c>
      <c r="O211" s="1" t="s">
        <v>19</v>
      </c>
    </row>
    <row r="212" spans="1:15" x14ac:dyDescent="0.35">
      <c r="A212" s="1" t="s">
        <v>274</v>
      </c>
      <c r="B212" s="1" t="s">
        <v>29</v>
      </c>
      <c r="C212" s="2">
        <v>45519</v>
      </c>
      <c r="D212" s="1" t="s">
        <v>62</v>
      </c>
      <c r="E212" s="1" t="s">
        <v>91</v>
      </c>
      <c r="F212">
        <v>914</v>
      </c>
      <c r="G212">
        <v>464</v>
      </c>
      <c r="H212">
        <v>246</v>
      </c>
      <c r="I212">
        <v>11882</v>
      </c>
      <c r="J212">
        <f>Posts[[#This Row],[Likes]]+Posts[[#This Row],[Shares]]+Posts[[#This Row],[Comments]]</f>
        <v>1624</v>
      </c>
      <c r="K212" s="10">
        <f>Posts[[#This Row],[Engagement]]/Posts[[#This Row],[Impressions]]</f>
        <v>0.13667732704931829</v>
      </c>
      <c r="L212">
        <v>11500</v>
      </c>
      <c r="M212">
        <v>282</v>
      </c>
      <c r="N212" s="1" t="s">
        <v>52</v>
      </c>
      <c r="O212" s="1" t="s">
        <v>19</v>
      </c>
    </row>
    <row r="213" spans="1:15" x14ac:dyDescent="0.35">
      <c r="A213" s="1" t="s">
        <v>274</v>
      </c>
      <c r="B213" s="1" t="s">
        <v>29</v>
      </c>
      <c r="C213" s="2">
        <v>45519</v>
      </c>
      <c r="D213" s="1" t="s">
        <v>62</v>
      </c>
      <c r="E213" s="1" t="s">
        <v>91</v>
      </c>
      <c r="F213">
        <v>914</v>
      </c>
      <c r="G213">
        <v>464</v>
      </c>
      <c r="H213">
        <v>246</v>
      </c>
      <c r="I213">
        <v>11882</v>
      </c>
      <c r="J213">
        <f>Posts[[#This Row],[Likes]]+Posts[[#This Row],[Shares]]+Posts[[#This Row],[Comments]]</f>
        <v>1624</v>
      </c>
      <c r="K213" s="10">
        <f>Posts[[#This Row],[Engagement]]/Posts[[#This Row],[Impressions]]</f>
        <v>0.13667732704931829</v>
      </c>
      <c r="L213">
        <v>11500</v>
      </c>
      <c r="M213">
        <v>282</v>
      </c>
      <c r="N213" s="1" t="s">
        <v>48</v>
      </c>
      <c r="O213" s="1" t="s">
        <v>19</v>
      </c>
    </row>
    <row r="214" spans="1:15" x14ac:dyDescent="0.35">
      <c r="A214" s="1" t="s">
        <v>275</v>
      </c>
      <c r="B214" s="1" t="s">
        <v>29</v>
      </c>
      <c r="C214" s="2">
        <v>45645</v>
      </c>
      <c r="D214" s="1" t="s">
        <v>50</v>
      </c>
      <c r="E214" s="1" t="s">
        <v>104</v>
      </c>
      <c r="F214">
        <v>1813</v>
      </c>
      <c r="G214">
        <v>623</v>
      </c>
      <c r="H214">
        <v>72</v>
      </c>
      <c r="I214">
        <v>19943</v>
      </c>
      <c r="J214">
        <f>Posts[[#This Row],[Likes]]+Posts[[#This Row],[Shares]]+Posts[[#This Row],[Comments]]</f>
        <v>2508</v>
      </c>
      <c r="K214" s="10">
        <f>Posts[[#This Row],[Engagement]]/Posts[[#This Row],[Impressions]]</f>
        <v>0.12575841147269717</v>
      </c>
      <c r="L214">
        <v>18959</v>
      </c>
      <c r="M214">
        <v>85</v>
      </c>
      <c r="N214" s="1" t="s">
        <v>59</v>
      </c>
      <c r="O214" s="1" t="s">
        <v>15</v>
      </c>
    </row>
    <row r="215" spans="1:15" x14ac:dyDescent="0.35">
      <c r="A215" s="1" t="s">
        <v>276</v>
      </c>
      <c r="B215" s="1" t="s">
        <v>31</v>
      </c>
      <c r="C215" s="2">
        <v>45587</v>
      </c>
      <c r="D215" s="1" t="s">
        <v>45</v>
      </c>
      <c r="E215" s="1" t="s">
        <v>46</v>
      </c>
      <c r="F215">
        <v>4782</v>
      </c>
      <c r="G215">
        <v>721</v>
      </c>
      <c r="H215">
        <v>82</v>
      </c>
      <c r="I215">
        <v>86076</v>
      </c>
      <c r="J215">
        <f>Posts[[#This Row],[Likes]]+Posts[[#This Row],[Shares]]+Posts[[#This Row],[Comments]]</f>
        <v>5585</v>
      </c>
      <c r="K215" s="10">
        <f>Posts[[#This Row],[Engagement]]/Posts[[#This Row],[Impressions]]</f>
        <v>6.4884520656164318E-2</v>
      </c>
      <c r="L215">
        <v>85339</v>
      </c>
      <c r="M215">
        <v>19</v>
      </c>
      <c r="N215" s="1" t="s">
        <v>59</v>
      </c>
      <c r="O215" s="1" t="s">
        <v>7</v>
      </c>
    </row>
    <row r="216" spans="1:15" x14ac:dyDescent="0.35">
      <c r="A216" s="1" t="s">
        <v>277</v>
      </c>
      <c r="B216" s="1" t="s">
        <v>31</v>
      </c>
      <c r="C216" s="2">
        <v>45549</v>
      </c>
      <c r="D216" s="1" t="s">
        <v>67</v>
      </c>
      <c r="E216" s="1" t="s">
        <v>114</v>
      </c>
      <c r="F216">
        <v>1048</v>
      </c>
      <c r="G216">
        <v>374</v>
      </c>
      <c r="H216">
        <v>450</v>
      </c>
      <c r="I216">
        <v>9432</v>
      </c>
      <c r="J216">
        <f>Posts[[#This Row],[Likes]]+Posts[[#This Row],[Shares]]+Posts[[#This Row],[Comments]]</f>
        <v>1872</v>
      </c>
      <c r="K216" s="10">
        <f>Posts[[#This Row],[Engagement]]/Posts[[#This Row],[Impressions]]</f>
        <v>0.19847328244274809</v>
      </c>
      <c r="L216">
        <v>8882</v>
      </c>
      <c r="M216">
        <v>158</v>
      </c>
      <c r="N216" s="1" t="s">
        <v>52</v>
      </c>
      <c r="O216" s="1" t="s">
        <v>15</v>
      </c>
    </row>
    <row r="217" spans="1:15" x14ac:dyDescent="0.35">
      <c r="A217" s="1" t="s">
        <v>278</v>
      </c>
      <c r="B217" s="1" t="s">
        <v>32</v>
      </c>
      <c r="C217" s="2">
        <v>45626</v>
      </c>
      <c r="D217" s="1" t="s">
        <v>62</v>
      </c>
      <c r="E217" s="1" t="s">
        <v>77</v>
      </c>
      <c r="F217">
        <v>2509</v>
      </c>
      <c r="G217">
        <v>324</v>
      </c>
      <c r="H217">
        <v>171</v>
      </c>
      <c r="I217">
        <v>35126</v>
      </c>
      <c r="J217">
        <f>Posts[[#This Row],[Likes]]+Posts[[#This Row],[Shares]]+Posts[[#This Row],[Comments]]</f>
        <v>3004</v>
      </c>
      <c r="K217" s="10">
        <f>Posts[[#This Row],[Engagement]]/Posts[[#This Row],[Impressions]]</f>
        <v>8.5520696919660646E-2</v>
      </c>
      <c r="L217">
        <v>34685</v>
      </c>
      <c r="M217">
        <v>277</v>
      </c>
      <c r="N217" s="1" t="s">
        <v>52</v>
      </c>
      <c r="O217" s="1" t="s">
        <v>11</v>
      </c>
    </row>
    <row r="218" spans="1:15" x14ac:dyDescent="0.35">
      <c r="A218" s="1" t="s">
        <v>279</v>
      </c>
      <c r="B218" s="1" t="s">
        <v>30</v>
      </c>
      <c r="C218" s="2">
        <v>45754</v>
      </c>
      <c r="D218" s="1" t="s">
        <v>45</v>
      </c>
      <c r="E218" s="1" t="s">
        <v>75</v>
      </c>
      <c r="F218">
        <v>3718</v>
      </c>
      <c r="G218">
        <v>385</v>
      </c>
      <c r="H218">
        <v>310</v>
      </c>
      <c r="I218">
        <v>70642</v>
      </c>
      <c r="J218">
        <f>Posts[[#This Row],[Likes]]+Posts[[#This Row],[Shares]]+Posts[[#This Row],[Comments]]</f>
        <v>4413</v>
      </c>
      <c r="K218" s="10">
        <f>Posts[[#This Row],[Engagement]]/Posts[[#This Row],[Impressions]]</f>
        <v>6.246991874522239E-2</v>
      </c>
      <c r="L218">
        <v>69749</v>
      </c>
      <c r="M218">
        <v>233</v>
      </c>
      <c r="N218" s="1" t="s">
        <v>52</v>
      </c>
      <c r="O218" s="1" t="s">
        <v>11</v>
      </c>
    </row>
    <row r="219" spans="1:15" x14ac:dyDescent="0.35">
      <c r="A219" s="1" t="s">
        <v>280</v>
      </c>
      <c r="B219" s="1" t="s">
        <v>31</v>
      </c>
      <c r="C219" s="2">
        <v>45672</v>
      </c>
      <c r="D219" s="1" t="s">
        <v>45</v>
      </c>
      <c r="E219" s="1" t="s">
        <v>46</v>
      </c>
      <c r="F219">
        <v>802</v>
      </c>
      <c r="G219">
        <v>262</v>
      </c>
      <c r="H219">
        <v>244</v>
      </c>
      <c r="I219">
        <v>14436</v>
      </c>
      <c r="J219">
        <f>Posts[[#This Row],[Likes]]+Posts[[#This Row],[Shares]]+Posts[[#This Row],[Comments]]</f>
        <v>1308</v>
      </c>
      <c r="K219" s="10">
        <f>Posts[[#This Row],[Engagement]]/Posts[[#This Row],[Impressions]]</f>
        <v>9.0606816292601824E-2</v>
      </c>
      <c r="L219">
        <v>14280</v>
      </c>
      <c r="M219">
        <v>49</v>
      </c>
      <c r="N219" s="1" t="s">
        <v>59</v>
      </c>
      <c r="O219" s="1" t="s">
        <v>7</v>
      </c>
    </row>
    <row r="220" spans="1:15" x14ac:dyDescent="0.35">
      <c r="A220" s="1" t="s">
        <v>281</v>
      </c>
      <c r="B220" s="1" t="s">
        <v>30</v>
      </c>
      <c r="C220" s="2">
        <v>45445</v>
      </c>
      <c r="D220" s="1" t="s">
        <v>67</v>
      </c>
      <c r="E220" s="1" t="s">
        <v>72</v>
      </c>
      <c r="F220">
        <v>1871</v>
      </c>
      <c r="G220">
        <v>252</v>
      </c>
      <c r="H220">
        <v>335</v>
      </c>
      <c r="I220">
        <v>29936</v>
      </c>
      <c r="J220">
        <f>Posts[[#This Row],[Likes]]+Posts[[#This Row],[Shares]]+Posts[[#This Row],[Comments]]</f>
        <v>2458</v>
      </c>
      <c r="K220" s="10">
        <f>Posts[[#This Row],[Engagement]]/Posts[[#This Row],[Impressions]]</f>
        <v>8.2108498129342594E-2</v>
      </c>
      <c r="L220">
        <v>29576</v>
      </c>
      <c r="M220">
        <v>288</v>
      </c>
      <c r="N220" s="1" t="s">
        <v>59</v>
      </c>
      <c r="O220" s="1" t="s">
        <v>15</v>
      </c>
    </row>
    <row r="221" spans="1:15" x14ac:dyDescent="0.35">
      <c r="A221" s="1" t="s">
        <v>282</v>
      </c>
      <c r="B221" s="1" t="s">
        <v>29</v>
      </c>
      <c r="C221" s="2">
        <v>45617</v>
      </c>
      <c r="D221" s="1" t="s">
        <v>62</v>
      </c>
      <c r="E221" s="1" t="s">
        <v>91</v>
      </c>
      <c r="F221">
        <v>3773</v>
      </c>
      <c r="G221">
        <v>299</v>
      </c>
      <c r="H221">
        <v>38</v>
      </c>
      <c r="I221">
        <v>71687</v>
      </c>
      <c r="J221">
        <f>Posts[[#This Row],[Likes]]+Posts[[#This Row],[Shares]]+Posts[[#This Row],[Comments]]</f>
        <v>4110</v>
      </c>
      <c r="K221" s="10">
        <f>Posts[[#This Row],[Engagement]]/Posts[[#This Row],[Impressions]]</f>
        <v>5.7332570758993957E-2</v>
      </c>
      <c r="L221">
        <v>71447</v>
      </c>
      <c r="M221">
        <v>286</v>
      </c>
      <c r="N221" s="1" t="s">
        <v>47</v>
      </c>
      <c r="O221" s="1" t="s">
        <v>7</v>
      </c>
    </row>
    <row r="222" spans="1:15" x14ac:dyDescent="0.35">
      <c r="A222" s="1" t="s">
        <v>283</v>
      </c>
      <c r="B222" s="1" t="s">
        <v>29</v>
      </c>
      <c r="C222" s="2">
        <v>45658</v>
      </c>
      <c r="D222" s="1" t="s">
        <v>62</v>
      </c>
      <c r="E222" s="1" t="s">
        <v>91</v>
      </c>
      <c r="F222">
        <v>2234</v>
      </c>
      <c r="G222">
        <v>653</v>
      </c>
      <c r="H222">
        <v>432</v>
      </c>
      <c r="I222">
        <v>11170</v>
      </c>
      <c r="J222">
        <f>Posts[[#This Row],[Likes]]+Posts[[#This Row],[Shares]]+Posts[[#This Row],[Comments]]</f>
        <v>3319</v>
      </c>
      <c r="K222" s="10">
        <f>Posts[[#This Row],[Engagement]]/Posts[[#This Row],[Impressions]]</f>
        <v>0.29713518352730528</v>
      </c>
      <c r="L222">
        <v>10569</v>
      </c>
      <c r="M222">
        <v>198</v>
      </c>
      <c r="N222" s="1" t="s">
        <v>47</v>
      </c>
      <c r="O222" s="1" t="s">
        <v>15</v>
      </c>
    </row>
    <row r="223" spans="1:15" x14ac:dyDescent="0.35">
      <c r="A223" s="1" t="s">
        <v>284</v>
      </c>
      <c r="B223" s="1" t="s">
        <v>31</v>
      </c>
      <c r="C223" s="2">
        <v>45771</v>
      </c>
      <c r="D223" s="1" t="s">
        <v>82</v>
      </c>
      <c r="E223" s="1" t="s">
        <v>121</v>
      </c>
      <c r="F223">
        <v>3820</v>
      </c>
      <c r="G223">
        <v>697</v>
      </c>
      <c r="H223">
        <v>268</v>
      </c>
      <c r="I223">
        <v>45840</v>
      </c>
      <c r="J223">
        <f>Posts[[#This Row],[Likes]]+Posts[[#This Row],[Shares]]+Posts[[#This Row],[Comments]]</f>
        <v>4785</v>
      </c>
      <c r="K223" s="10">
        <f>Posts[[#This Row],[Engagement]]/Posts[[#This Row],[Impressions]]</f>
        <v>0.1043848167539267</v>
      </c>
      <c r="L223">
        <v>45631</v>
      </c>
      <c r="M223">
        <v>171</v>
      </c>
      <c r="N223" s="1" t="s">
        <v>52</v>
      </c>
      <c r="O223" s="1" t="s">
        <v>19</v>
      </c>
    </row>
    <row r="224" spans="1:15" x14ac:dyDescent="0.35">
      <c r="A224" s="1" t="s">
        <v>284</v>
      </c>
      <c r="B224" s="1" t="s">
        <v>31</v>
      </c>
      <c r="C224" s="2">
        <v>45771</v>
      </c>
      <c r="D224" s="1" t="s">
        <v>82</v>
      </c>
      <c r="E224" s="1" t="s">
        <v>121</v>
      </c>
      <c r="F224">
        <v>3820</v>
      </c>
      <c r="G224">
        <v>697</v>
      </c>
      <c r="H224">
        <v>268</v>
      </c>
      <c r="I224">
        <v>45840</v>
      </c>
      <c r="J224">
        <f>Posts[[#This Row],[Likes]]+Posts[[#This Row],[Shares]]+Posts[[#This Row],[Comments]]</f>
        <v>4785</v>
      </c>
      <c r="K224" s="10">
        <f>Posts[[#This Row],[Engagement]]/Posts[[#This Row],[Impressions]]</f>
        <v>0.1043848167539267</v>
      </c>
      <c r="L224">
        <v>45631</v>
      </c>
      <c r="M224">
        <v>171</v>
      </c>
      <c r="N224" s="1" t="s">
        <v>18</v>
      </c>
      <c r="O224" s="1" t="s">
        <v>19</v>
      </c>
    </row>
    <row r="225" spans="1:15" x14ac:dyDescent="0.35">
      <c r="A225" s="1" t="s">
        <v>285</v>
      </c>
      <c r="B225" s="1" t="s">
        <v>31</v>
      </c>
      <c r="C225" s="2">
        <v>45467</v>
      </c>
      <c r="D225" s="1" t="s">
        <v>50</v>
      </c>
      <c r="E225" s="1" t="s">
        <v>51</v>
      </c>
      <c r="F225">
        <v>941</v>
      </c>
      <c r="G225">
        <v>121</v>
      </c>
      <c r="H225">
        <v>458</v>
      </c>
      <c r="I225">
        <v>14115</v>
      </c>
      <c r="J225">
        <f>Posts[[#This Row],[Likes]]+Posts[[#This Row],[Shares]]+Posts[[#This Row],[Comments]]</f>
        <v>1520</v>
      </c>
      <c r="K225" s="10">
        <f>Posts[[#This Row],[Engagement]]/Posts[[#This Row],[Impressions]]</f>
        <v>0.10768685795253277</v>
      </c>
      <c r="L225">
        <v>13838</v>
      </c>
      <c r="M225">
        <v>87</v>
      </c>
      <c r="N225" s="1" t="s">
        <v>59</v>
      </c>
      <c r="O225" s="1" t="s">
        <v>7</v>
      </c>
    </row>
    <row r="226" spans="1:15" x14ac:dyDescent="0.35">
      <c r="A226" s="1" t="s">
        <v>286</v>
      </c>
      <c r="B226" s="1" t="s">
        <v>31</v>
      </c>
      <c r="C226" s="2">
        <v>45655</v>
      </c>
      <c r="D226" s="1" t="s">
        <v>62</v>
      </c>
      <c r="E226" s="1" t="s">
        <v>65</v>
      </c>
      <c r="F226">
        <v>4274</v>
      </c>
      <c r="G226">
        <v>340</v>
      </c>
      <c r="H226">
        <v>281</v>
      </c>
      <c r="I226">
        <v>34192</v>
      </c>
      <c r="J226">
        <f>Posts[[#This Row],[Likes]]+Posts[[#This Row],[Shares]]+Posts[[#This Row],[Comments]]</f>
        <v>4895</v>
      </c>
      <c r="K226" s="10">
        <f>Posts[[#This Row],[Engagement]]/Posts[[#This Row],[Impressions]]</f>
        <v>0.14316214319138981</v>
      </c>
      <c r="L226">
        <v>33446</v>
      </c>
      <c r="M226">
        <v>129</v>
      </c>
      <c r="N226" s="1" t="s">
        <v>52</v>
      </c>
      <c r="O226" s="1" t="s">
        <v>15</v>
      </c>
    </row>
    <row r="227" spans="1:15" x14ac:dyDescent="0.35">
      <c r="A227" s="1" t="s">
        <v>286</v>
      </c>
      <c r="B227" s="1" t="s">
        <v>31</v>
      </c>
      <c r="C227" s="2">
        <v>45655</v>
      </c>
      <c r="D227" s="1" t="s">
        <v>62</v>
      </c>
      <c r="E227" s="1" t="s">
        <v>65</v>
      </c>
      <c r="F227">
        <v>4274</v>
      </c>
      <c r="G227">
        <v>340</v>
      </c>
      <c r="H227">
        <v>281</v>
      </c>
      <c r="I227">
        <v>34192</v>
      </c>
      <c r="J227">
        <f>Posts[[#This Row],[Likes]]+Posts[[#This Row],[Shares]]+Posts[[#This Row],[Comments]]</f>
        <v>4895</v>
      </c>
      <c r="K227" s="10">
        <f>Posts[[#This Row],[Engagement]]/Posts[[#This Row],[Impressions]]</f>
        <v>0.14316214319138981</v>
      </c>
      <c r="L227">
        <v>33446</v>
      </c>
      <c r="M227">
        <v>129</v>
      </c>
      <c r="N227" s="1" t="s">
        <v>18</v>
      </c>
      <c r="O227" s="1" t="s">
        <v>15</v>
      </c>
    </row>
    <row r="228" spans="1:15" x14ac:dyDescent="0.35">
      <c r="A228" s="1" t="s">
        <v>287</v>
      </c>
      <c r="B228" s="1" t="s">
        <v>32</v>
      </c>
      <c r="C228" s="2">
        <v>45467</v>
      </c>
      <c r="D228" s="1" t="s">
        <v>82</v>
      </c>
      <c r="E228" s="1" t="s">
        <v>162</v>
      </c>
      <c r="F228">
        <v>2949</v>
      </c>
      <c r="G228">
        <v>476</v>
      </c>
      <c r="H228">
        <v>403</v>
      </c>
      <c r="I228">
        <v>44235</v>
      </c>
      <c r="J228">
        <f>Posts[[#This Row],[Likes]]+Posts[[#This Row],[Shares]]+Posts[[#This Row],[Comments]]</f>
        <v>3828</v>
      </c>
      <c r="K228" s="10">
        <f>Posts[[#This Row],[Engagement]]/Posts[[#This Row],[Impressions]]</f>
        <v>8.6537809426924378E-2</v>
      </c>
      <c r="L228">
        <v>43705</v>
      </c>
      <c r="M228">
        <v>135</v>
      </c>
      <c r="N228" s="1" t="s">
        <v>52</v>
      </c>
      <c r="O228" s="1" t="s">
        <v>11</v>
      </c>
    </row>
    <row r="229" spans="1:15" x14ac:dyDescent="0.35">
      <c r="A229" s="1" t="s">
        <v>288</v>
      </c>
      <c r="B229" s="1" t="s">
        <v>31</v>
      </c>
      <c r="C229" s="2">
        <v>45735</v>
      </c>
      <c r="D229" s="1" t="s">
        <v>82</v>
      </c>
      <c r="E229" s="1" t="s">
        <v>121</v>
      </c>
      <c r="F229">
        <v>3160</v>
      </c>
      <c r="G229">
        <v>204</v>
      </c>
      <c r="H229">
        <v>297</v>
      </c>
      <c r="I229">
        <v>44240</v>
      </c>
      <c r="J229">
        <f>Posts[[#This Row],[Likes]]+Posts[[#This Row],[Shares]]+Posts[[#This Row],[Comments]]</f>
        <v>3661</v>
      </c>
      <c r="K229" s="10">
        <f>Posts[[#This Row],[Engagement]]/Posts[[#This Row],[Impressions]]</f>
        <v>8.2753164556962022E-2</v>
      </c>
      <c r="L229">
        <v>43666</v>
      </c>
      <c r="M229">
        <v>49</v>
      </c>
      <c r="N229" s="1" t="s">
        <v>47</v>
      </c>
      <c r="O229" s="1" t="s">
        <v>19</v>
      </c>
    </row>
    <row r="230" spans="1:15" x14ac:dyDescent="0.35">
      <c r="A230" s="1" t="s">
        <v>288</v>
      </c>
      <c r="B230" s="1" t="s">
        <v>31</v>
      </c>
      <c r="C230" s="2">
        <v>45735</v>
      </c>
      <c r="D230" s="1" t="s">
        <v>82</v>
      </c>
      <c r="E230" s="1" t="s">
        <v>121</v>
      </c>
      <c r="F230">
        <v>3160</v>
      </c>
      <c r="G230">
        <v>204</v>
      </c>
      <c r="H230">
        <v>297</v>
      </c>
      <c r="I230">
        <v>44240</v>
      </c>
      <c r="J230">
        <f>Posts[[#This Row],[Likes]]+Posts[[#This Row],[Shares]]+Posts[[#This Row],[Comments]]</f>
        <v>3661</v>
      </c>
      <c r="K230" s="10">
        <f>Posts[[#This Row],[Engagement]]/Posts[[#This Row],[Impressions]]</f>
        <v>8.2753164556962022E-2</v>
      </c>
      <c r="L230">
        <v>43666</v>
      </c>
      <c r="M230">
        <v>49</v>
      </c>
      <c r="N230" s="1" t="s">
        <v>48</v>
      </c>
      <c r="O230" s="1" t="s">
        <v>19</v>
      </c>
    </row>
    <row r="231" spans="1:15" x14ac:dyDescent="0.35">
      <c r="A231" s="1" t="s">
        <v>289</v>
      </c>
      <c r="B231" s="1" t="s">
        <v>32</v>
      </c>
      <c r="C231" s="2">
        <v>45707</v>
      </c>
      <c r="D231" s="1" t="s">
        <v>67</v>
      </c>
      <c r="E231" s="1" t="s">
        <v>68</v>
      </c>
      <c r="F231">
        <v>257</v>
      </c>
      <c r="G231">
        <v>966</v>
      </c>
      <c r="H231">
        <v>398</v>
      </c>
      <c r="I231">
        <v>3341</v>
      </c>
      <c r="J231">
        <f>Posts[[#This Row],[Likes]]+Posts[[#This Row],[Shares]]+Posts[[#This Row],[Comments]]</f>
        <v>1621</v>
      </c>
      <c r="K231" s="10">
        <f>Posts[[#This Row],[Engagement]]/Posts[[#This Row],[Impressions]]</f>
        <v>0.48518407662376534</v>
      </c>
      <c r="L231">
        <v>2753</v>
      </c>
      <c r="M231">
        <v>287</v>
      </c>
      <c r="N231" s="1" t="s">
        <v>47</v>
      </c>
      <c r="O231" s="1" t="s">
        <v>7</v>
      </c>
    </row>
    <row r="232" spans="1:15" x14ac:dyDescent="0.35">
      <c r="A232" s="1" t="s">
        <v>290</v>
      </c>
      <c r="B232" s="1" t="s">
        <v>31</v>
      </c>
      <c r="C232" s="2">
        <v>45491</v>
      </c>
      <c r="D232" s="1" t="s">
        <v>62</v>
      </c>
      <c r="E232" s="1" t="s">
        <v>65</v>
      </c>
      <c r="F232">
        <v>2120</v>
      </c>
      <c r="G232">
        <v>38</v>
      </c>
      <c r="H232">
        <v>212</v>
      </c>
      <c r="I232">
        <v>12720</v>
      </c>
      <c r="J232">
        <f>Posts[[#This Row],[Likes]]+Posts[[#This Row],[Shares]]+Posts[[#This Row],[Comments]]</f>
        <v>2370</v>
      </c>
      <c r="K232" s="10">
        <f>Posts[[#This Row],[Engagement]]/Posts[[#This Row],[Impressions]]</f>
        <v>0.18632075471698112</v>
      </c>
      <c r="L232">
        <v>12564</v>
      </c>
      <c r="M232">
        <v>21</v>
      </c>
      <c r="N232" s="1" t="s">
        <v>47</v>
      </c>
      <c r="O232" s="1" t="s">
        <v>19</v>
      </c>
    </row>
    <row r="233" spans="1:15" x14ac:dyDescent="0.35">
      <c r="A233" s="1" t="s">
        <v>291</v>
      </c>
      <c r="B233" s="1" t="s">
        <v>32</v>
      </c>
      <c r="C233" s="2">
        <v>45719</v>
      </c>
      <c r="D233" s="1" t="s">
        <v>82</v>
      </c>
      <c r="E233" s="1" t="s">
        <v>162</v>
      </c>
      <c r="F233">
        <v>3874</v>
      </c>
      <c r="G233">
        <v>884</v>
      </c>
      <c r="H233">
        <v>19</v>
      </c>
      <c r="I233">
        <v>38740</v>
      </c>
      <c r="J233">
        <f>Posts[[#This Row],[Likes]]+Posts[[#This Row],[Shares]]+Posts[[#This Row],[Comments]]</f>
        <v>4777</v>
      </c>
      <c r="K233" s="10">
        <f>Posts[[#This Row],[Engagement]]/Posts[[#This Row],[Impressions]]</f>
        <v>0.123309241094476</v>
      </c>
      <c r="L233">
        <v>38552</v>
      </c>
      <c r="M233">
        <v>219</v>
      </c>
      <c r="N233" s="1" t="s">
        <v>52</v>
      </c>
      <c r="O233" s="1" t="s">
        <v>11</v>
      </c>
    </row>
    <row r="234" spans="1:15" x14ac:dyDescent="0.35">
      <c r="A234" s="1" t="s">
        <v>292</v>
      </c>
      <c r="B234" s="1" t="s">
        <v>30</v>
      </c>
      <c r="C234" s="2">
        <v>45778</v>
      </c>
      <c r="D234" s="1" t="s">
        <v>62</v>
      </c>
      <c r="E234" s="1" t="s">
        <v>63</v>
      </c>
      <c r="F234">
        <v>2696</v>
      </c>
      <c r="G234">
        <v>628</v>
      </c>
      <c r="H234">
        <v>443</v>
      </c>
      <c r="I234">
        <v>45832</v>
      </c>
      <c r="J234">
        <f>Posts[[#This Row],[Likes]]+Posts[[#This Row],[Shares]]+Posts[[#This Row],[Comments]]</f>
        <v>3767</v>
      </c>
      <c r="K234" s="10">
        <f>Posts[[#This Row],[Engagement]]/Posts[[#This Row],[Impressions]]</f>
        <v>8.21914819340199E-2</v>
      </c>
      <c r="L234">
        <v>45632</v>
      </c>
      <c r="M234">
        <v>248</v>
      </c>
      <c r="N234" s="1" t="s">
        <v>59</v>
      </c>
      <c r="O234" s="1" t="s">
        <v>19</v>
      </c>
    </row>
    <row r="235" spans="1:15" x14ac:dyDescent="0.35">
      <c r="A235" s="1" t="s">
        <v>293</v>
      </c>
      <c r="B235" s="1" t="s">
        <v>29</v>
      </c>
      <c r="C235" s="2">
        <v>45649</v>
      </c>
      <c r="D235" s="1" t="s">
        <v>67</v>
      </c>
      <c r="E235" s="1" t="s">
        <v>160</v>
      </c>
      <c r="F235">
        <v>521</v>
      </c>
      <c r="G235">
        <v>746</v>
      </c>
      <c r="H235">
        <v>315</v>
      </c>
      <c r="I235">
        <v>4168</v>
      </c>
      <c r="J235">
        <f>Posts[[#This Row],[Likes]]+Posts[[#This Row],[Shares]]+Posts[[#This Row],[Comments]]</f>
        <v>1582</v>
      </c>
      <c r="K235" s="10">
        <f>Posts[[#This Row],[Engagement]]/Posts[[#This Row],[Impressions]]</f>
        <v>0.37955854126679461</v>
      </c>
      <c r="L235">
        <v>3399</v>
      </c>
      <c r="M235">
        <v>282</v>
      </c>
      <c r="N235" s="1" t="s">
        <v>47</v>
      </c>
      <c r="O235" s="1" t="s">
        <v>11</v>
      </c>
    </row>
    <row r="236" spans="1:15" x14ac:dyDescent="0.35">
      <c r="A236" s="1" t="s">
        <v>294</v>
      </c>
      <c r="B236" s="1" t="s">
        <v>30</v>
      </c>
      <c r="C236" s="2">
        <v>45783</v>
      </c>
      <c r="D236" s="1" t="s">
        <v>67</v>
      </c>
      <c r="E236" s="1" t="s">
        <v>72</v>
      </c>
      <c r="F236">
        <v>4872</v>
      </c>
      <c r="G236">
        <v>925</v>
      </c>
      <c r="H236">
        <v>176</v>
      </c>
      <c r="I236">
        <v>82824</v>
      </c>
      <c r="J236">
        <f>Posts[[#This Row],[Likes]]+Posts[[#This Row],[Shares]]+Posts[[#This Row],[Comments]]</f>
        <v>5973</v>
      </c>
      <c r="K236" s="10">
        <f>Posts[[#This Row],[Engagement]]/Posts[[#This Row],[Impressions]]</f>
        <v>7.2116777745580993E-2</v>
      </c>
      <c r="L236">
        <v>82543</v>
      </c>
      <c r="M236">
        <v>89</v>
      </c>
      <c r="N236" s="1" t="s">
        <v>59</v>
      </c>
      <c r="O236" s="1" t="s">
        <v>11</v>
      </c>
    </row>
    <row r="237" spans="1:15" x14ac:dyDescent="0.35">
      <c r="A237" s="1" t="s">
        <v>295</v>
      </c>
      <c r="B237" s="1" t="s">
        <v>32</v>
      </c>
      <c r="C237" s="2">
        <v>45502</v>
      </c>
      <c r="D237" s="1" t="s">
        <v>57</v>
      </c>
      <c r="E237" s="1" t="s">
        <v>127</v>
      </c>
      <c r="F237">
        <v>1509</v>
      </c>
      <c r="G237">
        <v>88</v>
      </c>
      <c r="H237">
        <v>163</v>
      </c>
      <c r="I237">
        <v>30180</v>
      </c>
      <c r="J237">
        <f>Posts[[#This Row],[Likes]]+Posts[[#This Row],[Shares]]+Posts[[#This Row],[Comments]]</f>
        <v>1760</v>
      </c>
      <c r="K237" s="10">
        <f>Posts[[#This Row],[Engagement]]/Posts[[#This Row],[Impressions]]</f>
        <v>5.8316766070245198E-2</v>
      </c>
      <c r="L237">
        <v>29689</v>
      </c>
      <c r="M237">
        <v>119</v>
      </c>
      <c r="N237" s="1" t="s">
        <v>59</v>
      </c>
      <c r="O237" s="1" t="s">
        <v>11</v>
      </c>
    </row>
    <row r="238" spans="1:15" x14ac:dyDescent="0.35">
      <c r="A238" s="1" t="s">
        <v>296</v>
      </c>
      <c r="B238" s="1" t="s">
        <v>30</v>
      </c>
      <c r="C238" s="2">
        <v>45629</v>
      </c>
      <c r="D238" s="1" t="s">
        <v>67</v>
      </c>
      <c r="E238" s="1" t="s">
        <v>72</v>
      </c>
      <c r="F238">
        <v>4606</v>
      </c>
      <c r="G238">
        <v>931</v>
      </c>
      <c r="H238">
        <v>230</v>
      </c>
      <c r="I238">
        <v>92120</v>
      </c>
      <c r="J238">
        <f>Posts[[#This Row],[Likes]]+Posts[[#This Row],[Shares]]+Posts[[#This Row],[Comments]]</f>
        <v>5767</v>
      </c>
      <c r="K238" s="10">
        <f>Posts[[#This Row],[Engagement]]/Posts[[#This Row],[Impressions]]</f>
        <v>6.2603126356925748E-2</v>
      </c>
      <c r="L238">
        <v>91440</v>
      </c>
      <c r="M238">
        <v>56</v>
      </c>
      <c r="N238" s="1" t="s">
        <v>52</v>
      </c>
      <c r="O238" s="1" t="s">
        <v>80</v>
      </c>
    </row>
    <row r="239" spans="1:15" x14ac:dyDescent="0.35">
      <c r="A239" s="1" t="s">
        <v>297</v>
      </c>
      <c r="B239" s="1" t="s">
        <v>30</v>
      </c>
      <c r="C239" s="2">
        <v>45454</v>
      </c>
      <c r="D239" s="1" t="s">
        <v>62</v>
      </c>
      <c r="E239" s="1" t="s">
        <v>63</v>
      </c>
      <c r="F239">
        <v>1869</v>
      </c>
      <c r="G239">
        <v>453</v>
      </c>
      <c r="H239">
        <v>490</v>
      </c>
      <c r="I239">
        <v>14952</v>
      </c>
      <c r="J239">
        <f>Posts[[#This Row],[Likes]]+Posts[[#This Row],[Shares]]+Posts[[#This Row],[Comments]]</f>
        <v>2812</v>
      </c>
      <c r="K239" s="10">
        <f>Posts[[#This Row],[Engagement]]/Posts[[#This Row],[Impressions]]</f>
        <v>0.18806848582129482</v>
      </c>
      <c r="L239">
        <v>14309</v>
      </c>
      <c r="M239">
        <v>275</v>
      </c>
      <c r="N239" s="1" t="s">
        <v>52</v>
      </c>
      <c r="O239" s="1" t="s">
        <v>19</v>
      </c>
    </row>
    <row r="240" spans="1:15" x14ac:dyDescent="0.35">
      <c r="A240" s="1" t="s">
        <v>298</v>
      </c>
      <c r="B240" s="1" t="s">
        <v>31</v>
      </c>
      <c r="C240" s="2">
        <v>45685</v>
      </c>
      <c r="D240" s="1" t="s">
        <v>45</v>
      </c>
      <c r="E240" s="1" t="s">
        <v>46</v>
      </c>
      <c r="F240">
        <v>1188</v>
      </c>
      <c r="G240">
        <v>470</v>
      </c>
      <c r="H240">
        <v>174</v>
      </c>
      <c r="I240">
        <v>7128</v>
      </c>
      <c r="J240">
        <f>Posts[[#This Row],[Likes]]+Posts[[#This Row],[Shares]]+Posts[[#This Row],[Comments]]</f>
        <v>1832</v>
      </c>
      <c r="K240" s="10">
        <f>Posts[[#This Row],[Engagement]]/Posts[[#This Row],[Impressions]]</f>
        <v>0.25701459034792368</v>
      </c>
      <c r="L240">
        <v>6145</v>
      </c>
      <c r="M240">
        <v>270</v>
      </c>
      <c r="N240" s="1" t="s">
        <v>52</v>
      </c>
      <c r="O240" s="1" t="s">
        <v>19</v>
      </c>
    </row>
    <row r="241" spans="1:15" x14ac:dyDescent="0.35">
      <c r="A241" s="1" t="s">
        <v>299</v>
      </c>
      <c r="B241" s="1" t="s">
        <v>29</v>
      </c>
      <c r="C241" s="2">
        <v>45445</v>
      </c>
      <c r="D241" s="1" t="s">
        <v>57</v>
      </c>
      <c r="E241" s="1" t="s">
        <v>58</v>
      </c>
      <c r="F241">
        <v>84</v>
      </c>
      <c r="G241">
        <v>897</v>
      </c>
      <c r="H241">
        <v>85</v>
      </c>
      <c r="I241">
        <v>588</v>
      </c>
      <c r="J241">
        <f>Posts[[#This Row],[Likes]]+Posts[[#This Row],[Shares]]+Posts[[#This Row],[Comments]]</f>
        <v>1066</v>
      </c>
      <c r="K241" s="10">
        <f>Posts[[#This Row],[Engagement]]/Posts[[#This Row],[Impressions]]</f>
        <v>1.8129251700680271</v>
      </c>
      <c r="L241">
        <v>8</v>
      </c>
      <c r="M241">
        <v>12</v>
      </c>
      <c r="N241" s="1" t="s">
        <v>59</v>
      </c>
      <c r="O241" s="1" t="s">
        <v>80</v>
      </c>
    </row>
    <row r="242" spans="1:15" x14ac:dyDescent="0.35">
      <c r="A242" s="1" t="s">
        <v>300</v>
      </c>
      <c r="B242" s="1" t="s">
        <v>30</v>
      </c>
      <c r="C242" s="2">
        <v>45739</v>
      </c>
      <c r="D242" s="1" t="s">
        <v>82</v>
      </c>
      <c r="E242" s="1" t="s">
        <v>83</v>
      </c>
      <c r="F242">
        <v>4453</v>
      </c>
      <c r="G242">
        <v>111</v>
      </c>
      <c r="H242">
        <v>420</v>
      </c>
      <c r="I242">
        <v>31171</v>
      </c>
      <c r="J242">
        <f>Posts[[#This Row],[Likes]]+Posts[[#This Row],[Shares]]+Posts[[#This Row],[Comments]]</f>
        <v>4984</v>
      </c>
      <c r="K242" s="10">
        <f>Posts[[#This Row],[Engagement]]/Posts[[#This Row],[Impressions]]</f>
        <v>0.15989220750056141</v>
      </c>
      <c r="L242">
        <v>30565</v>
      </c>
      <c r="M242">
        <v>23</v>
      </c>
      <c r="N242" s="1" t="s">
        <v>52</v>
      </c>
      <c r="O242" s="1" t="s">
        <v>80</v>
      </c>
    </row>
    <row r="243" spans="1:15" x14ac:dyDescent="0.35">
      <c r="A243" s="1" t="s">
        <v>301</v>
      </c>
      <c r="B243" s="1" t="s">
        <v>30</v>
      </c>
      <c r="C243" s="2">
        <v>45573</v>
      </c>
      <c r="D243" s="1" t="s">
        <v>45</v>
      </c>
      <c r="E243" s="1" t="s">
        <v>75</v>
      </c>
      <c r="F243">
        <v>1814</v>
      </c>
      <c r="G243">
        <v>653</v>
      </c>
      <c r="H243">
        <v>363</v>
      </c>
      <c r="I243">
        <v>25396</v>
      </c>
      <c r="J243">
        <f>Posts[[#This Row],[Likes]]+Posts[[#This Row],[Shares]]+Posts[[#This Row],[Comments]]</f>
        <v>2830</v>
      </c>
      <c r="K243" s="10">
        <f>Posts[[#This Row],[Engagement]]/Posts[[#This Row],[Impressions]]</f>
        <v>0.11143487163332809</v>
      </c>
      <c r="L243">
        <v>25286</v>
      </c>
      <c r="M243">
        <v>39</v>
      </c>
      <c r="N243" s="1" t="s">
        <v>47</v>
      </c>
      <c r="O243" s="1" t="s">
        <v>7</v>
      </c>
    </row>
    <row r="244" spans="1:15" x14ac:dyDescent="0.35">
      <c r="A244" s="1" t="s">
        <v>301</v>
      </c>
      <c r="B244" s="1" t="s">
        <v>30</v>
      </c>
      <c r="C244" s="2">
        <v>45573</v>
      </c>
      <c r="D244" s="1" t="s">
        <v>45</v>
      </c>
      <c r="E244" s="1" t="s">
        <v>75</v>
      </c>
      <c r="F244">
        <v>1814</v>
      </c>
      <c r="G244">
        <v>653</v>
      </c>
      <c r="H244">
        <v>363</v>
      </c>
      <c r="I244">
        <v>25396</v>
      </c>
      <c r="J244">
        <f>Posts[[#This Row],[Likes]]+Posts[[#This Row],[Shares]]+Posts[[#This Row],[Comments]]</f>
        <v>2830</v>
      </c>
      <c r="K244" s="10">
        <f>Posts[[#This Row],[Engagement]]/Posts[[#This Row],[Impressions]]</f>
        <v>0.11143487163332809</v>
      </c>
      <c r="L244">
        <v>25286</v>
      </c>
      <c r="M244">
        <v>39</v>
      </c>
      <c r="N244" s="1" t="s">
        <v>18</v>
      </c>
      <c r="O244" s="1" t="s">
        <v>7</v>
      </c>
    </row>
    <row r="245" spans="1:15" x14ac:dyDescent="0.35">
      <c r="A245" s="1" t="s">
        <v>302</v>
      </c>
      <c r="B245" s="1" t="s">
        <v>31</v>
      </c>
      <c r="C245" s="2">
        <v>45608</v>
      </c>
      <c r="D245" s="1" t="s">
        <v>67</v>
      </c>
      <c r="E245" s="1" t="s">
        <v>114</v>
      </c>
      <c r="F245">
        <v>3338</v>
      </c>
      <c r="G245">
        <v>277</v>
      </c>
      <c r="H245">
        <v>118</v>
      </c>
      <c r="I245">
        <v>60084</v>
      </c>
      <c r="J245">
        <f>Posts[[#This Row],[Likes]]+Posts[[#This Row],[Shares]]+Posts[[#This Row],[Comments]]</f>
        <v>3733</v>
      </c>
      <c r="K245" s="10">
        <f>Posts[[#This Row],[Engagement]]/Posts[[#This Row],[Impressions]]</f>
        <v>6.2129685107516146E-2</v>
      </c>
      <c r="L245">
        <v>59842</v>
      </c>
      <c r="M245">
        <v>252</v>
      </c>
      <c r="N245" s="1" t="s">
        <v>52</v>
      </c>
      <c r="O245" s="1" t="s">
        <v>80</v>
      </c>
    </row>
    <row r="246" spans="1:15" x14ac:dyDescent="0.35">
      <c r="A246" s="1" t="s">
        <v>303</v>
      </c>
      <c r="B246" s="1" t="s">
        <v>30</v>
      </c>
      <c r="C246" s="2">
        <v>45790</v>
      </c>
      <c r="D246" s="1" t="s">
        <v>67</v>
      </c>
      <c r="E246" s="1" t="s">
        <v>72</v>
      </c>
      <c r="F246">
        <v>602</v>
      </c>
      <c r="G246">
        <v>594</v>
      </c>
      <c r="H246">
        <v>156</v>
      </c>
      <c r="I246">
        <v>4214</v>
      </c>
      <c r="J246">
        <f>Posts[[#This Row],[Likes]]+Posts[[#This Row],[Shares]]+Posts[[#This Row],[Comments]]</f>
        <v>1352</v>
      </c>
      <c r="K246" s="10">
        <f>Posts[[#This Row],[Engagement]]/Posts[[#This Row],[Impressions]]</f>
        <v>0.32083531086853345</v>
      </c>
      <c r="L246">
        <v>3363</v>
      </c>
      <c r="M246">
        <v>164</v>
      </c>
      <c r="N246" s="1" t="s">
        <v>52</v>
      </c>
      <c r="O246" s="1" t="s">
        <v>15</v>
      </c>
    </row>
    <row r="247" spans="1:15" x14ac:dyDescent="0.35">
      <c r="A247" s="1" t="s">
        <v>304</v>
      </c>
      <c r="B247" s="1" t="s">
        <v>31</v>
      </c>
      <c r="C247" s="2">
        <v>45463</v>
      </c>
      <c r="D247" s="1" t="s">
        <v>62</v>
      </c>
      <c r="E247" s="1" t="s">
        <v>65</v>
      </c>
      <c r="F247">
        <v>4672</v>
      </c>
      <c r="G247">
        <v>325</v>
      </c>
      <c r="H247">
        <v>32</v>
      </c>
      <c r="I247">
        <v>88768</v>
      </c>
      <c r="J247">
        <f>Posts[[#This Row],[Likes]]+Posts[[#This Row],[Shares]]+Posts[[#This Row],[Comments]]</f>
        <v>5029</v>
      </c>
      <c r="K247" s="10">
        <f>Posts[[#This Row],[Engagement]]/Posts[[#This Row],[Impressions]]</f>
        <v>5.6653298485940883E-2</v>
      </c>
      <c r="L247">
        <v>87833</v>
      </c>
      <c r="M247">
        <v>118</v>
      </c>
      <c r="N247" s="1" t="s">
        <v>59</v>
      </c>
      <c r="O247" s="1" t="s">
        <v>80</v>
      </c>
    </row>
    <row r="248" spans="1:15" x14ac:dyDescent="0.35">
      <c r="A248" s="1" t="s">
        <v>305</v>
      </c>
      <c r="B248" s="1" t="s">
        <v>29</v>
      </c>
      <c r="C248" s="2">
        <v>45511</v>
      </c>
      <c r="D248" s="1" t="s">
        <v>62</v>
      </c>
      <c r="E248" s="1" t="s">
        <v>91</v>
      </c>
      <c r="F248">
        <v>1741</v>
      </c>
      <c r="G248">
        <v>164</v>
      </c>
      <c r="H248">
        <v>318</v>
      </c>
      <c r="I248">
        <v>8705</v>
      </c>
      <c r="J248">
        <f>Posts[[#This Row],[Likes]]+Posts[[#This Row],[Shares]]+Posts[[#This Row],[Comments]]</f>
        <v>2223</v>
      </c>
      <c r="K248" s="10">
        <f>Posts[[#This Row],[Engagement]]/Posts[[#This Row],[Impressions]]</f>
        <v>0.25537047673750718</v>
      </c>
      <c r="L248">
        <v>8272</v>
      </c>
      <c r="M248">
        <v>121</v>
      </c>
      <c r="N248" s="1" t="s">
        <v>52</v>
      </c>
      <c r="O248" s="1" t="s">
        <v>80</v>
      </c>
    </row>
    <row r="249" spans="1:15" x14ac:dyDescent="0.35">
      <c r="A249" s="1" t="s">
        <v>306</v>
      </c>
      <c r="B249" s="1" t="s">
        <v>29</v>
      </c>
      <c r="C249" s="2">
        <v>45455</v>
      </c>
      <c r="D249" s="1" t="s">
        <v>50</v>
      </c>
      <c r="E249" s="1" t="s">
        <v>104</v>
      </c>
      <c r="F249">
        <v>246</v>
      </c>
      <c r="G249">
        <v>149</v>
      </c>
      <c r="H249">
        <v>130</v>
      </c>
      <c r="I249">
        <v>4674</v>
      </c>
      <c r="J249">
        <f>Posts[[#This Row],[Likes]]+Posts[[#This Row],[Shares]]+Posts[[#This Row],[Comments]]</f>
        <v>525</v>
      </c>
      <c r="K249" s="10">
        <f>Posts[[#This Row],[Engagement]]/Posts[[#This Row],[Impressions]]</f>
        <v>0.11232349165596919</v>
      </c>
      <c r="L249">
        <v>4390</v>
      </c>
      <c r="M249">
        <v>217</v>
      </c>
      <c r="N249" s="1" t="s">
        <v>47</v>
      </c>
      <c r="O249" s="1" t="s">
        <v>15</v>
      </c>
    </row>
    <row r="250" spans="1:15" x14ac:dyDescent="0.35">
      <c r="A250" s="1" t="s">
        <v>307</v>
      </c>
      <c r="B250" s="1" t="s">
        <v>29</v>
      </c>
      <c r="C250" s="2">
        <v>45474</v>
      </c>
      <c r="D250" s="1" t="s">
        <v>57</v>
      </c>
      <c r="E250" s="1" t="s">
        <v>58</v>
      </c>
      <c r="F250">
        <v>4808</v>
      </c>
      <c r="G250">
        <v>772</v>
      </c>
      <c r="H250">
        <v>320</v>
      </c>
      <c r="I250">
        <v>72120</v>
      </c>
      <c r="J250">
        <f>Posts[[#This Row],[Likes]]+Posts[[#This Row],[Shares]]+Posts[[#This Row],[Comments]]</f>
        <v>5900</v>
      </c>
      <c r="K250" s="10">
        <f>Posts[[#This Row],[Engagement]]/Posts[[#This Row],[Impressions]]</f>
        <v>8.1808097615085965E-2</v>
      </c>
      <c r="L250">
        <v>71696</v>
      </c>
      <c r="M250">
        <v>195</v>
      </c>
      <c r="N250" s="1" t="s">
        <v>59</v>
      </c>
      <c r="O250" s="1" t="s">
        <v>7</v>
      </c>
    </row>
    <row r="251" spans="1:15" x14ac:dyDescent="0.35">
      <c r="A251" s="1" t="s">
        <v>308</v>
      </c>
      <c r="B251" s="1" t="s">
        <v>29</v>
      </c>
      <c r="C251" s="2">
        <v>45476</v>
      </c>
      <c r="D251" s="1" t="s">
        <v>62</v>
      </c>
      <c r="E251" s="1" t="s">
        <v>91</v>
      </c>
      <c r="F251">
        <v>4799</v>
      </c>
      <c r="G251">
        <v>694</v>
      </c>
      <c r="H251">
        <v>289</v>
      </c>
      <c r="I251">
        <v>43191</v>
      </c>
      <c r="J251">
        <f>Posts[[#This Row],[Likes]]+Posts[[#This Row],[Shares]]+Posts[[#This Row],[Comments]]</f>
        <v>5782</v>
      </c>
      <c r="K251" s="10">
        <f>Posts[[#This Row],[Engagement]]/Posts[[#This Row],[Impressions]]</f>
        <v>0.13387048227640017</v>
      </c>
      <c r="L251">
        <v>42228</v>
      </c>
      <c r="M251">
        <v>118</v>
      </c>
      <c r="N251" s="1" t="s">
        <v>52</v>
      </c>
      <c r="O251" s="1" t="s">
        <v>80</v>
      </c>
    </row>
    <row r="252" spans="1:15" x14ac:dyDescent="0.35">
      <c r="A252" s="1" t="s">
        <v>309</v>
      </c>
      <c r="B252" s="1" t="s">
        <v>30</v>
      </c>
      <c r="C252" s="2">
        <v>45488</v>
      </c>
      <c r="D252" s="1" t="s">
        <v>45</v>
      </c>
      <c r="E252" s="1" t="s">
        <v>75</v>
      </c>
      <c r="F252">
        <v>3663</v>
      </c>
      <c r="G252">
        <v>17</v>
      </c>
      <c r="H252">
        <v>295</v>
      </c>
      <c r="I252">
        <v>51282</v>
      </c>
      <c r="J252">
        <f>Posts[[#This Row],[Likes]]+Posts[[#This Row],[Shares]]+Posts[[#This Row],[Comments]]</f>
        <v>3975</v>
      </c>
      <c r="K252" s="10">
        <f>Posts[[#This Row],[Engagement]]/Posts[[#This Row],[Impressions]]</f>
        <v>7.7512577512577507E-2</v>
      </c>
      <c r="L252">
        <v>50567</v>
      </c>
      <c r="M252">
        <v>84</v>
      </c>
      <c r="N252" s="1" t="s">
        <v>59</v>
      </c>
      <c r="O252" s="1" t="s">
        <v>15</v>
      </c>
    </row>
    <row r="253" spans="1:15" x14ac:dyDescent="0.35">
      <c r="A253" s="1" t="s">
        <v>310</v>
      </c>
      <c r="B253" s="1" t="s">
        <v>29</v>
      </c>
      <c r="C253" s="2">
        <v>45778</v>
      </c>
      <c r="D253" s="1" t="s">
        <v>50</v>
      </c>
      <c r="E253" s="1" t="s">
        <v>104</v>
      </c>
      <c r="F253">
        <v>1430</v>
      </c>
      <c r="G253">
        <v>376</v>
      </c>
      <c r="H253">
        <v>33</v>
      </c>
      <c r="I253">
        <v>21450</v>
      </c>
      <c r="J253">
        <f>Posts[[#This Row],[Likes]]+Posts[[#This Row],[Shares]]+Posts[[#This Row],[Comments]]</f>
        <v>1839</v>
      </c>
      <c r="K253" s="10">
        <f>Posts[[#This Row],[Engagement]]/Posts[[#This Row],[Impressions]]</f>
        <v>8.5734265734265735E-2</v>
      </c>
      <c r="L253">
        <v>20509</v>
      </c>
      <c r="M253">
        <v>251</v>
      </c>
      <c r="N253" s="1" t="s">
        <v>47</v>
      </c>
      <c r="O253" s="1" t="s">
        <v>7</v>
      </c>
    </row>
    <row r="254" spans="1:15" x14ac:dyDescent="0.35">
      <c r="A254" s="1" t="s">
        <v>311</v>
      </c>
      <c r="B254" s="1" t="s">
        <v>31</v>
      </c>
      <c r="C254" s="2">
        <v>45776</v>
      </c>
      <c r="D254" s="1" t="s">
        <v>57</v>
      </c>
      <c r="E254" s="1" t="s">
        <v>124</v>
      </c>
      <c r="F254">
        <v>249</v>
      </c>
      <c r="G254">
        <v>592</v>
      </c>
      <c r="H254">
        <v>230</v>
      </c>
      <c r="I254">
        <v>1494</v>
      </c>
      <c r="J254">
        <f>Posts[[#This Row],[Likes]]+Posts[[#This Row],[Shares]]+Posts[[#This Row],[Comments]]</f>
        <v>1071</v>
      </c>
      <c r="K254" s="10">
        <f>Posts[[#This Row],[Engagement]]/Posts[[#This Row],[Impressions]]</f>
        <v>0.7168674698795181</v>
      </c>
      <c r="L254">
        <v>1044</v>
      </c>
      <c r="M254">
        <v>201</v>
      </c>
      <c r="N254" s="1" t="s">
        <v>59</v>
      </c>
      <c r="O254" s="1" t="s">
        <v>19</v>
      </c>
    </row>
    <row r="255" spans="1:15" x14ac:dyDescent="0.35">
      <c r="A255" s="1" t="s">
        <v>312</v>
      </c>
      <c r="B255" s="1" t="s">
        <v>30</v>
      </c>
      <c r="C255" s="2">
        <v>45724</v>
      </c>
      <c r="D255" s="1" t="s">
        <v>67</v>
      </c>
      <c r="E255" s="1" t="s">
        <v>72</v>
      </c>
      <c r="F255">
        <v>2382</v>
      </c>
      <c r="G255">
        <v>265</v>
      </c>
      <c r="H255">
        <v>134</v>
      </c>
      <c r="I255">
        <v>38112</v>
      </c>
      <c r="J255">
        <f>Posts[[#This Row],[Likes]]+Posts[[#This Row],[Shares]]+Posts[[#This Row],[Comments]]</f>
        <v>2781</v>
      </c>
      <c r="K255" s="10">
        <f>Posts[[#This Row],[Engagement]]/Posts[[#This Row],[Impressions]]</f>
        <v>7.2969143576826198E-2</v>
      </c>
      <c r="L255">
        <v>37437</v>
      </c>
      <c r="M255">
        <v>249</v>
      </c>
      <c r="N255" s="1" t="s">
        <v>47</v>
      </c>
      <c r="O255" s="1" t="s">
        <v>19</v>
      </c>
    </row>
    <row r="256" spans="1:15" x14ac:dyDescent="0.35">
      <c r="A256" s="1" t="s">
        <v>313</v>
      </c>
      <c r="B256" s="1" t="s">
        <v>30</v>
      </c>
      <c r="C256" s="2">
        <v>45444</v>
      </c>
      <c r="D256" s="1" t="s">
        <v>50</v>
      </c>
      <c r="E256" s="1" t="s">
        <v>70</v>
      </c>
      <c r="F256">
        <v>1272</v>
      </c>
      <c r="G256">
        <v>465</v>
      </c>
      <c r="H256">
        <v>99</v>
      </c>
      <c r="I256">
        <v>24168</v>
      </c>
      <c r="J256">
        <f>Posts[[#This Row],[Likes]]+Posts[[#This Row],[Shares]]+Posts[[#This Row],[Comments]]</f>
        <v>1836</v>
      </c>
      <c r="K256" s="10">
        <f>Posts[[#This Row],[Engagement]]/Posts[[#This Row],[Impressions]]</f>
        <v>7.5968222442899705E-2</v>
      </c>
      <c r="L256">
        <v>23719</v>
      </c>
      <c r="M256">
        <v>42</v>
      </c>
      <c r="N256" s="1" t="s">
        <v>52</v>
      </c>
      <c r="O256" s="1" t="s">
        <v>80</v>
      </c>
    </row>
    <row r="257" spans="1:15" x14ac:dyDescent="0.35">
      <c r="A257" s="1" t="s">
        <v>314</v>
      </c>
      <c r="B257" s="1" t="s">
        <v>30</v>
      </c>
      <c r="C257" s="2">
        <v>45648</v>
      </c>
      <c r="D257" s="1" t="s">
        <v>67</v>
      </c>
      <c r="E257" s="1" t="s">
        <v>72</v>
      </c>
      <c r="F257">
        <v>3196</v>
      </c>
      <c r="G257">
        <v>941</v>
      </c>
      <c r="H257">
        <v>376</v>
      </c>
      <c r="I257">
        <v>35156</v>
      </c>
      <c r="J257">
        <f>Posts[[#This Row],[Likes]]+Posts[[#This Row],[Shares]]+Posts[[#This Row],[Comments]]</f>
        <v>4513</v>
      </c>
      <c r="K257" s="10">
        <f>Posts[[#This Row],[Engagement]]/Posts[[#This Row],[Impressions]]</f>
        <v>0.1283706906360223</v>
      </c>
      <c r="L257">
        <v>34444</v>
      </c>
      <c r="M257">
        <v>241</v>
      </c>
      <c r="N257" s="1" t="s">
        <v>52</v>
      </c>
      <c r="O257" s="1" t="s">
        <v>15</v>
      </c>
    </row>
    <row r="258" spans="1:15" x14ac:dyDescent="0.35">
      <c r="A258" s="1" t="s">
        <v>315</v>
      </c>
      <c r="B258" s="1" t="s">
        <v>30</v>
      </c>
      <c r="C258" s="2">
        <v>45523</v>
      </c>
      <c r="D258" s="1" t="s">
        <v>50</v>
      </c>
      <c r="E258" s="1" t="s">
        <v>70</v>
      </c>
      <c r="F258">
        <v>1257</v>
      </c>
      <c r="G258">
        <v>19</v>
      </c>
      <c r="H258">
        <v>351</v>
      </c>
      <c r="I258">
        <v>12570</v>
      </c>
      <c r="J258">
        <f>Posts[[#This Row],[Likes]]+Posts[[#This Row],[Shares]]+Posts[[#This Row],[Comments]]</f>
        <v>1627</v>
      </c>
      <c r="K258" s="10">
        <f>Posts[[#This Row],[Engagement]]/Posts[[#This Row],[Impressions]]</f>
        <v>0.12943516308671441</v>
      </c>
      <c r="L258">
        <v>11660</v>
      </c>
      <c r="M258">
        <v>194</v>
      </c>
      <c r="N258" s="1" t="s">
        <v>47</v>
      </c>
      <c r="O258" s="1" t="s">
        <v>11</v>
      </c>
    </row>
    <row r="259" spans="1:15" x14ac:dyDescent="0.35">
      <c r="A259" s="1" t="s">
        <v>315</v>
      </c>
      <c r="B259" s="1" t="s">
        <v>30</v>
      </c>
      <c r="C259" s="2">
        <v>45523</v>
      </c>
      <c r="D259" s="1" t="s">
        <v>50</v>
      </c>
      <c r="E259" s="1" t="s">
        <v>70</v>
      </c>
      <c r="F259">
        <v>1257</v>
      </c>
      <c r="G259">
        <v>19</v>
      </c>
      <c r="H259">
        <v>351</v>
      </c>
      <c r="I259">
        <v>12570</v>
      </c>
      <c r="J259">
        <f>Posts[[#This Row],[Likes]]+Posts[[#This Row],[Shares]]+Posts[[#This Row],[Comments]]</f>
        <v>1627</v>
      </c>
      <c r="K259" s="10">
        <f>Posts[[#This Row],[Engagement]]/Posts[[#This Row],[Impressions]]</f>
        <v>0.12943516308671441</v>
      </c>
      <c r="L259">
        <v>11660</v>
      </c>
      <c r="M259">
        <v>194</v>
      </c>
      <c r="N259" s="1" t="s">
        <v>48</v>
      </c>
      <c r="O259" s="1" t="s">
        <v>11</v>
      </c>
    </row>
    <row r="260" spans="1:15" x14ac:dyDescent="0.35">
      <c r="A260" s="1" t="s">
        <v>315</v>
      </c>
      <c r="B260" s="1" t="s">
        <v>30</v>
      </c>
      <c r="C260" s="2">
        <v>45523</v>
      </c>
      <c r="D260" s="1" t="s">
        <v>50</v>
      </c>
      <c r="E260" s="1" t="s">
        <v>70</v>
      </c>
      <c r="F260">
        <v>1257</v>
      </c>
      <c r="G260">
        <v>19</v>
      </c>
      <c r="H260">
        <v>351</v>
      </c>
      <c r="I260">
        <v>12570</v>
      </c>
      <c r="J260">
        <f>Posts[[#This Row],[Likes]]+Posts[[#This Row],[Shares]]+Posts[[#This Row],[Comments]]</f>
        <v>1627</v>
      </c>
      <c r="K260" s="10">
        <f>Posts[[#This Row],[Engagement]]/Posts[[#This Row],[Impressions]]</f>
        <v>0.12943516308671441</v>
      </c>
      <c r="L260">
        <v>11660</v>
      </c>
      <c r="M260">
        <v>194</v>
      </c>
      <c r="N260" s="1" t="s">
        <v>59</v>
      </c>
      <c r="O260" s="1" t="s">
        <v>11</v>
      </c>
    </row>
    <row r="261" spans="1:15" x14ac:dyDescent="0.35">
      <c r="A261" s="1" t="s">
        <v>316</v>
      </c>
      <c r="B261" s="1" t="s">
        <v>29</v>
      </c>
      <c r="C261" s="2">
        <v>45587</v>
      </c>
      <c r="D261" s="1" t="s">
        <v>57</v>
      </c>
      <c r="E261" s="1" t="s">
        <v>58</v>
      </c>
      <c r="F261">
        <v>3770</v>
      </c>
      <c r="G261">
        <v>917</v>
      </c>
      <c r="H261">
        <v>129</v>
      </c>
      <c r="I261">
        <v>71630</v>
      </c>
      <c r="J261">
        <f>Posts[[#This Row],[Likes]]+Posts[[#This Row],[Shares]]+Posts[[#This Row],[Comments]]</f>
        <v>4816</v>
      </c>
      <c r="K261" s="10">
        <f>Posts[[#This Row],[Engagement]]/Posts[[#This Row],[Impressions]]</f>
        <v>6.7234398994834563E-2</v>
      </c>
      <c r="L261">
        <v>71322</v>
      </c>
      <c r="M261">
        <v>76</v>
      </c>
      <c r="N261" s="1" t="s">
        <v>47</v>
      </c>
      <c r="O261" s="1" t="s">
        <v>7</v>
      </c>
    </row>
    <row r="262" spans="1:15" x14ac:dyDescent="0.35">
      <c r="A262" s="1" t="s">
        <v>317</v>
      </c>
      <c r="B262" s="1" t="s">
        <v>31</v>
      </c>
      <c r="C262" s="2">
        <v>45489</v>
      </c>
      <c r="D262" s="1" t="s">
        <v>50</v>
      </c>
      <c r="E262" s="1" t="s">
        <v>51</v>
      </c>
      <c r="F262">
        <v>4725</v>
      </c>
      <c r="G262">
        <v>400</v>
      </c>
      <c r="H262">
        <v>362</v>
      </c>
      <c r="I262">
        <v>75600</v>
      </c>
      <c r="J262">
        <f>Posts[[#This Row],[Likes]]+Posts[[#This Row],[Shares]]+Posts[[#This Row],[Comments]]</f>
        <v>5487</v>
      </c>
      <c r="K262" s="10">
        <f>Posts[[#This Row],[Engagement]]/Posts[[#This Row],[Impressions]]</f>
        <v>7.2579365079365077E-2</v>
      </c>
      <c r="L262">
        <v>74927</v>
      </c>
      <c r="M262">
        <v>43</v>
      </c>
      <c r="N262" s="1" t="s">
        <v>47</v>
      </c>
      <c r="O262" s="1" t="s">
        <v>19</v>
      </c>
    </row>
    <row r="263" spans="1:15" x14ac:dyDescent="0.35">
      <c r="A263" s="1" t="s">
        <v>318</v>
      </c>
      <c r="B263" s="1" t="s">
        <v>32</v>
      </c>
      <c r="C263" s="2">
        <v>45712</v>
      </c>
      <c r="D263" s="1" t="s">
        <v>50</v>
      </c>
      <c r="E263" s="1" t="s">
        <v>99</v>
      </c>
      <c r="F263">
        <v>4188</v>
      </c>
      <c r="G263">
        <v>942</v>
      </c>
      <c r="H263">
        <v>118</v>
      </c>
      <c r="I263">
        <v>20940</v>
      </c>
      <c r="J263">
        <f>Posts[[#This Row],[Likes]]+Posts[[#This Row],[Shares]]+Posts[[#This Row],[Comments]]</f>
        <v>5248</v>
      </c>
      <c r="K263" s="10">
        <f>Posts[[#This Row],[Engagement]]/Posts[[#This Row],[Impressions]]</f>
        <v>0.25062082139446035</v>
      </c>
      <c r="L263">
        <v>20471</v>
      </c>
      <c r="M263">
        <v>102</v>
      </c>
      <c r="N263" s="1" t="s">
        <v>47</v>
      </c>
      <c r="O263" s="1" t="s">
        <v>80</v>
      </c>
    </row>
    <row r="264" spans="1:15" x14ac:dyDescent="0.35">
      <c r="A264" s="1" t="s">
        <v>319</v>
      </c>
      <c r="B264" s="1" t="s">
        <v>31</v>
      </c>
      <c r="C264" s="2">
        <v>45530</v>
      </c>
      <c r="D264" s="1" t="s">
        <v>62</v>
      </c>
      <c r="E264" s="1" t="s">
        <v>65</v>
      </c>
      <c r="F264">
        <v>929</v>
      </c>
      <c r="G264">
        <v>192</v>
      </c>
      <c r="H264">
        <v>322</v>
      </c>
      <c r="I264">
        <v>16722</v>
      </c>
      <c r="J264">
        <f>Posts[[#This Row],[Likes]]+Posts[[#This Row],[Shares]]+Posts[[#This Row],[Comments]]</f>
        <v>1443</v>
      </c>
      <c r="K264" s="10">
        <f>Posts[[#This Row],[Engagement]]/Posts[[#This Row],[Impressions]]</f>
        <v>8.6293505561535699E-2</v>
      </c>
      <c r="L264">
        <v>15996</v>
      </c>
      <c r="M264">
        <v>145</v>
      </c>
      <c r="N264" s="1" t="s">
        <v>59</v>
      </c>
      <c r="O264" s="1" t="s">
        <v>15</v>
      </c>
    </row>
    <row r="265" spans="1:15" x14ac:dyDescent="0.35">
      <c r="A265" s="1" t="s">
        <v>319</v>
      </c>
      <c r="B265" s="1" t="s">
        <v>31</v>
      </c>
      <c r="C265" s="2">
        <v>45530</v>
      </c>
      <c r="D265" s="1" t="s">
        <v>62</v>
      </c>
      <c r="E265" s="1" t="s">
        <v>65</v>
      </c>
      <c r="F265">
        <v>929</v>
      </c>
      <c r="G265">
        <v>192</v>
      </c>
      <c r="H265">
        <v>322</v>
      </c>
      <c r="I265">
        <v>16722</v>
      </c>
      <c r="J265">
        <f>Posts[[#This Row],[Likes]]+Posts[[#This Row],[Shares]]+Posts[[#This Row],[Comments]]</f>
        <v>1443</v>
      </c>
      <c r="K265" s="10">
        <f>Posts[[#This Row],[Engagement]]/Posts[[#This Row],[Impressions]]</f>
        <v>8.6293505561535699E-2</v>
      </c>
      <c r="L265">
        <v>15996</v>
      </c>
      <c r="M265">
        <v>145</v>
      </c>
      <c r="N265" s="1" t="s">
        <v>52</v>
      </c>
      <c r="O265" s="1" t="s">
        <v>15</v>
      </c>
    </row>
    <row r="266" spans="1:15" x14ac:dyDescent="0.35">
      <c r="A266" s="1" t="s">
        <v>319</v>
      </c>
      <c r="B266" s="1" t="s">
        <v>31</v>
      </c>
      <c r="C266" s="2">
        <v>45530</v>
      </c>
      <c r="D266" s="1" t="s">
        <v>62</v>
      </c>
      <c r="E266" s="1" t="s">
        <v>65</v>
      </c>
      <c r="F266">
        <v>929</v>
      </c>
      <c r="G266">
        <v>192</v>
      </c>
      <c r="H266">
        <v>322</v>
      </c>
      <c r="I266">
        <v>16722</v>
      </c>
      <c r="J266">
        <f>Posts[[#This Row],[Likes]]+Posts[[#This Row],[Shares]]+Posts[[#This Row],[Comments]]</f>
        <v>1443</v>
      </c>
      <c r="K266" s="10">
        <f>Posts[[#This Row],[Engagement]]/Posts[[#This Row],[Impressions]]</f>
        <v>8.6293505561535699E-2</v>
      </c>
      <c r="L266">
        <v>15996</v>
      </c>
      <c r="M266">
        <v>145</v>
      </c>
      <c r="N266" s="1" t="s">
        <v>48</v>
      </c>
      <c r="O266" s="1" t="s">
        <v>15</v>
      </c>
    </row>
    <row r="267" spans="1:15" x14ac:dyDescent="0.35">
      <c r="A267" s="1" t="s">
        <v>320</v>
      </c>
      <c r="B267" s="1" t="s">
        <v>30</v>
      </c>
      <c r="C267" s="2">
        <v>45675</v>
      </c>
      <c r="D267" s="1" t="s">
        <v>57</v>
      </c>
      <c r="E267" s="1" t="s">
        <v>79</v>
      </c>
      <c r="F267">
        <v>4321</v>
      </c>
      <c r="G267">
        <v>874</v>
      </c>
      <c r="H267">
        <v>172</v>
      </c>
      <c r="I267">
        <v>30247</v>
      </c>
      <c r="J267">
        <f>Posts[[#This Row],[Likes]]+Posts[[#This Row],[Shares]]+Posts[[#This Row],[Comments]]</f>
        <v>5367</v>
      </c>
      <c r="K267" s="10">
        <f>Posts[[#This Row],[Engagement]]/Posts[[#This Row],[Impressions]]</f>
        <v>0.17743908486792079</v>
      </c>
      <c r="L267">
        <v>29254</v>
      </c>
      <c r="M267">
        <v>122</v>
      </c>
      <c r="N267" s="1" t="s">
        <v>52</v>
      </c>
      <c r="O267" s="1" t="s">
        <v>19</v>
      </c>
    </row>
    <row r="268" spans="1:15" x14ac:dyDescent="0.35">
      <c r="A268" s="1" t="s">
        <v>321</v>
      </c>
      <c r="B268" s="1" t="s">
        <v>30</v>
      </c>
      <c r="C268" s="2">
        <v>45480</v>
      </c>
      <c r="D268" s="1" t="s">
        <v>45</v>
      </c>
      <c r="E268" s="1" t="s">
        <v>75</v>
      </c>
      <c r="F268">
        <v>4767</v>
      </c>
      <c r="G268">
        <v>190</v>
      </c>
      <c r="H268">
        <v>340</v>
      </c>
      <c r="I268">
        <v>28602</v>
      </c>
      <c r="J268">
        <f>Posts[[#This Row],[Likes]]+Posts[[#This Row],[Shares]]+Posts[[#This Row],[Comments]]</f>
        <v>5297</v>
      </c>
      <c r="K268" s="10">
        <f>Posts[[#This Row],[Engagement]]/Posts[[#This Row],[Impressions]]</f>
        <v>0.18519683938186141</v>
      </c>
      <c r="L268">
        <v>28044</v>
      </c>
      <c r="M268">
        <v>210</v>
      </c>
      <c r="N268" s="1" t="s">
        <v>59</v>
      </c>
      <c r="O268" s="1" t="s">
        <v>15</v>
      </c>
    </row>
    <row r="269" spans="1:15" x14ac:dyDescent="0.35">
      <c r="A269" s="1" t="s">
        <v>322</v>
      </c>
      <c r="B269" s="1" t="s">
        <v>31</v>
      </c>
      <c r="C269" s="2">
        <v>45722</v>
      </c>
      <c r="D269" s="1" t="s">
        <v>67</v>
      </c>
      <c r="E269" s="1" t="s">
        <v>114</v>
      </c>
      <c r="F269">
        <v>3592</v>
      </c>
      <c r="G269">
        <v>911</v>
      </c>
      <c r="H269">
        <v>375</v>
      </c>
      <c r="I269">
        <v>50288</v>
      </c>
      <c r="J269">
        <f>Posts[[#This Row],[Likes]]+Posts[[#This Row],[Shares]]+Posts[[#This Row],[Comments]]</f>
        <v>4878</v>
      </c>
      <c r="K269" s="10">
        <f>Posts[[#This Row],[Engagement]]/Posts[[#This Row],[Impressions]]</f>
        <v>9.7001272669424113E-2</v>
      </c>
      <c r="L269">
        <v>49490</v>
      </c>
      <c r="M269">
        <v>32</v>
      </c>
      <c r="N269" s="1" t="s">
        <v>47</v>
      </c>
      <c r="O269" s="1" t="s">
        <v>19</v>
      </c>
    </row>
    <row r="270" spans="1:15" x14ac:dyDescent="0.35">
      <c r="A270" s="1" t="s">
        <v>323</v>
      </c>
      <c r="B270" s="1" t="s">
        <v>32</v>
      </c>
      <c r="C270" s="2">
        <v>45590</v>
      </c>
      <c r="D270" s="1" t="s">
        <v>82</v>
      </c>
      <c r="E270" s="1" t="s">
        <v>162</v>
      </c>
      <c r="F270">
        <v>4661</v>
      </c>
      <c r="G270">
        <v>935</v>
      </c>
      <c r="H270">
        <v>433</v>
      </c>
      <c r="I270">
        <v>23305</v>
      </c>
      <c r="J270">
        <f>Posts[[#This Row],[Likes]]+Posts[[#This Row],[Shares]]+Posts[[#This Row],[Comments]]</f>
        <v>6029</v>
      </c>
      <c r="K270" s="10">
        <f>Posts[[#This Row],[Engagement]]/Posts[[#This Row],[Impressions]]</f>
        <v>0.25869984981763572</v>
      </c>
      <c r="L270">
        <v>22583</v>
      </c>
      <c r="M270">
        <v>63</v>
      </c>
      <c r="N270" s="1" t="s">
        <v>47</v>
      </c>
      <c r="O270" s="1" t="s">
        <v>15</v>
      </c>
    </row>
    <row r="271" spans="1:15" x14ac:dyDescent="0.35">
      <c r="A271" s="1" t="s">
        <v>324</v>
      </c>
      <c r="B271" s="1" t="s">
        <v>30</v>
      </c>
      <c r="C271" s="2">
        <v>45669</v>
      </c>
      <c r="D271" s="1" t="s">
        <v>45</v>
      </c>
      <c r="E271" s="1" t="s">
        <v>75</v>
      </c>
      <c r="F271">
        <v>4134</v>
      </c>
      <c r="G271">
        <v>824</v>
      </c>
      <c r="H271">
        <v>99</v>
      </c>
      <c r="I271">
        <v>41340</v>
      </c>
      <c r="J271">
        <f>Posts[[#This Row],[Likes]]+Posts[[#This Row],[Shares]]+Posts[[#This Row],[Comments]]</f>
        <v>5057</v>
      </c>
      <c r="K271" s="10">
        <f>Posts[[#This Row],[Engagement]]/Posts[[#This Row],[Impressions]]</f>
        <v>0.12232704402515723</v>
      </c>
      <c r="L271">
        <v>41050</v>
      </c>
      <c r="M271">
        <v>177</v>
      </c>
      <c r="N271" s="1" t="s">
        <v>59</v>
      </c>
      <c r="O271" s="1" t="s">
        <v>7</v>
      </c>
    </row>
    <row r="272" spans="1:15" x14ac:dyDescent="0.35">
      <c r="A272" s="1" t="s">
        <v>325</v>
      </c>
      <c r="B272" s="1" t="s">
        <v>30</v>
      </c>
      <c r="C272" s="2">
        <v>45576</v>
      </c>
      <c r="D272" s="1" t="s">
        <v>67</v>
      </c>
      <c r="E272" s="1" t="s">
        <v>72</v>
      </c>
      <c r="F272">
        <v>400</v>
      </c>
      <c r="G272">
        <v>680</v>
      </c>
      <c r="H272">
        <v>434</v>
      </c>
      <c r="I272">
        <v>6400</v>
      </c>
      <c r="J272">
        <f>Posts[[#This Row],[Likes]]+Posts[[#This Row],[Shares]]+Posts[[#This Row],[Comments]]</f>
        <v>1514</v>
      </c>
      <c r="K272" s="10">
        <f>Posts[[#This Row],[Engagement]]/Posts[[#This Row],[Impressions]]</f>
        <v>0.23656250000000001</v>
      </c>
      <c r="L272">
        <v>5472</v>
      </c>
      <c r="M272">
        <v>160</v>
      </c>
      <c r="N272" s="1" t="s">
        <v>47</v>
      </c>
      <c r="O272" s="1" t="s">
        <v>11</v>
      </c>
    </row>
    <row r="273" spans="1:15" x14ac:dyDescent="0.35">
      <c r="A273" s="1" t="s">
        <v>326</v>
      </c>
      <c r="B273" s="1" t="s">
        <v>30</v>
      </c>
      <c r="C273" s="2">
        <v>45531</v>
      </c>
      <c r="D273" s="1" t="s">
        <v>45</v>
      </c>
      <c r="E273" s="1" t="s">
        <v>75</v>
      </c>
      <c r="F273">
        <v>3960</v>
      </c>
      <c r="G273">
        <v>266</v>
      </c>
      <c r="H273">
        <v>8</v>
      </c>
      <c r="I273">
        <v>35640</v>
      </c>
      <c r="J273">
        <f>Posts[[#This Row],[Likes]]+Posts[[#This Row],[Shares]]+Posts[[#This Row],[Comments]]</f>
        <v>4234</v>
      </c>
      <c r="K273" s="10">
        <f>Posts[[#This Row],[Engagement]]/Posts[[#This Row],[Impressions]]</f>
        <v>0.11879910213243547</v>
      </c>
      <c r="L273">
        <v>34850</v>
      </c>
      <c r="M273">
        <v>208</v>
      </c>
      <c r="N273" s="1" t="s">
        <v>47</v>
      </c>
      <c r="O273" s="1" t="s">
        <v>80</v>
      </c>
    </row>
    <row r="274" spans="1:15" x14ac:dyDescent="0.35">
      <c r="A274" s="1" t="s">
        <v>326</v>
      </c>
      <c r="B274" s="1" t="s">
        <v>30</v>
      </c>
      <c r="C274" s="2">
        <v>45531</v>
      </c>
      <c r="D274" s="1" t="s">
        <v>45</v>
      </c>
      <c r="E274" s="1" t="s">
        <v>75</v>
      </c>
      <c r="F274">
        <v>3960</v>
      </c>
      <c r="G274">
        <v>266</v>
      </c>
      <c r="H274">
        <v>8</v>
      </c>
      <c r="I274">
        <v>35640</v>
      </c>
      <c r="J274">
        <f>Posts[[#This Row],[Likes]]+Posts[[#This Row],[Shares]]+Posts[[#This Row],[Comments]]</f>
        <v>4234</v>
      </c>
      <c r="K274" s="10">
        <f>Posts[[#This Row],[Engagement]]/Posts[[#This Row],[Impressions]]</f>
        <v>0.11879910213243547</v>
      </c>
      <c r="L274">
        <v>34850</v>
      </c>
      <c r="M274">
        <v>208</v>
      </c>
      <c r="N274" s="1" t="s">
        <v>59</v>
      </c>
      <c r="O274" s="1" t="s">
        <v>80</v>
      </c>
    </row>
    <row r="275" spans="1:15" x14ac:dyDescent="0.35">
      <c r="A275" s="1" t="s">
        <v>326</v>
      </c>
      <c r="B275" s="1" t="s">
        <v>30</v>
      </c>
      <c r="C275" s="2">
        <v>45531</v>
      </c>
      <c r="D275" s="1" t="s">
        <v>45</v>
      </c>
      <c r="E275" s="1" t="s">
        <v>75</v>
      </c>
      <c r="F275">
        <v>3960</v>
      </c>
      <c r="G275">
        <v>266</v>
      </c>
      <c r="H275">
        <v>8</v>
      </c>
      <c r="I275">
        <v>35640</v>
      </c>
      <c r="J275">
        <f>Posts[[#This Row],[Likes]]+Posts[[#This Row],[Shares]]+Posts[[#This Row],[Comments]]</f>
        <v>4234</v>
      </c>
      <c r="K275" s="10">
        <f>Posts[[#This Row],[Engagement]]/Posts[[#This Row],[Impressions]]</f>
        <v>0.11879910213243547</v>
      </c>
      <c r="L275">
        <v>34850</v>
      </c>
      <c r="M275">
        <v>208</v>
      </c>
      <c r="N275" s="1" t="s">
        <v>53</v>
      </c>
      <c r="O275" s="1" t="s">
        <v>80</v>
      </c>
    </row>
    <row r="276" spans="1:15" x14ac:dyDescent="0.35">
      <c r="A276" s="1" t="s">
        <v>327</v>
      </c>
      <c r="B276" s="1" t="s">
        <v>30</v>
      </c>
      <c r="C276" s="2">
        <v>45690</v>
      </c>
      <c r="D276" s="1" t="s">
        <v>57</v>
      </c>
      <c r="E276" s="1" t="s">
        <v>79</v>
      </c>
      <c r="F276">
        <v>886</v>
      </c>
      <c r="G276">
        <v>126</v>
      </c>
      <c r="H276">
        <v>153</v>
      </c>
      <c r="I276">
        <v>4430</v>
      </c>
      <c r="J276">
        <f>Posts[[#This Row],[Likes]]+Posts[[#This Row],[Shares]]+Posts[[#This Row],[Comments]]</f>
        <v>1165</v>
      </c>
      <c r="K276" s="10">
        <f>Posts[[#This Row],[Engagement]]/Posts[[#This Row],[Impressions]]</f>
        <v>0.26297968397291194</v>
      </c>
      <c r="L276">
        <v>4037</v>
      </c>
      <c r="M276">
        <v>212</v>
      </c>
      <c r="N276" s="1" t="s">
        <v>59</v>
      </c>
      <c r="O276" s="1" t="s">
        <v>80</v>
      </c>
    </row>
    <row r="277" spans="1:15" x14ac:dyDescent="0.35">
      <c r="A277" s="1" t="s">
        <v>328</v>
      </c>
      <c r="B277" s="1" t="s">
        <v>31</v>
      </c>
      <c r="C277" s="2">
        <v>45491</v>
      </c>
      <c r="D277" s="1" t="s">
        <v>67</v>
      </c>
      <c r="E277" s="1" t="s">
        <v>114</v>
      </c>
      <c r="F277">
        <v>827</v>
      </c>
      <c r="G277">
        <v>77</v>
      </c>
      <c r="H277">
        <v>402</v>
      </c>
      <c r="I277">
        <v>14886</v>
      </c>
      <c r="J277">
        <f>Posts[[#This Row],[Likes]]+Posts[[#This Row],[Shares]]+Posts[[#This Row],[Comments]]</f>
        <v>1306</v>
      </c>
      <c r="K277" s="10">
        <f>Posts[[#This Row],[Engagement]]/Posts[[#This Row],[Impressions]]</f>
        <v>8.7733440816874911E-2</v>
      </c>
      <c r="L277">
        <v>14129</v>
      </c>
      <c r="M277">
        <v>254</v>
      </c>
      <c r="N277" s="1" t="s">
        <v>59</v>
      </c>
      <c r="O277" s="1" t="s">
        <v>11</v>
      </c>
    </row>
    <row r="278" spans="1:15" x14ac:dyDescent="0.35">
      <c r="A278" s="1" t="s">
        <v>329</v>
      </c>
      <c r="B278" s="1" t="s">
        <v>30</v>
      </c>
      <c r="C278" s="2">
        <v>45465</v>
      </c>
      <c r="D278" s="1" t="s">
        <v>45</v>
      </c>
      <c r="E278" s="1" t="s">
        <v>75</v>
      </c>
      <c r="F278">
        <v>3813</v>
      </c>
      <c r="G278">
        <v>935</v>
      </c>
      <c r="H278">
        <v>274</v>
      </c>
      <c r="I278">
        <v>68634</v>
      </c>
      <c r="J278">
        <f>Posts[[#This Row],[Likes]]+Posts[[#This Row],[Shares]]+Posts[[#This Row],[Comments]]</f>
        <v>5022</v>
      </c>
      <c r="K278" s="10">
        <f>Posts[[#This Row],[Engagement]]/Posts[[#This Row],[Impressions]]</f>
        <v>7.3170731707317069E-2</v>
      </c>
      <c r="L278">
        <v>68488</v>
      </c>
      <c r="M278">
        <v>251</v>
      </c>
      <c r="N278" s="1" t="s">
        <v>47</v>
      </c>
      <c r="O278" s="1" t="s">
        <v>80</v>
      </c>
    </row>
    <row r="279" spans="1:15" x14ac:dyDescent="0.35">
      <c r="A279" s="1" t="s">
        <v>330</v>
      </c>
      <c r="B279" s="1" t="s">
        <v>29</v>
      </c>
      <c r="C279" s="2">
        <v>45743</v>
      </c>
      <c r="D279" s="1" t="s">
        <v>62</v>
      </c>
      <c r="E279" s="1" t="s">
        <v>91</v>
      </c>
      <c r="F279">
        <v>1377</v>
      </c>
      <c r="G279">
        <v>796</v>
      </c>
      <c r="H279">
        <v>387</v>
      </c>
      <c r="I279">
        <v>22032</v>
      </c>
      <c r="J279">
        <f>Posts[[#This Row],[Likes]]+Posts[[#This Row],[Shares]]+Posts[[#This Row],[Comments]]</f>
        <v>2560</v>
      </c>
      <c r="K279" s="10">
        <f>Posts[[#This Row],[Engagement]]/Posts[[#This Row],[Impressions]]</f>
        <v>0.11619462599854757</v>
      </c>
      <c r="L279">
        <v>21869</v>
      </c>
      <c r="M279">
        <v>189</v>
      </c>
      <c r="N279" s="1" t="s">
        <v>47</v>
      </c>
      <c r="O279" s="1" t="s">
        <v>80</v>
      </c>
    </row>
    <row r="280" spans="1:15" x14ac:dyDescent="0.35">
      <c r="A280" s="1" t="s">
        <v>331</v>
      </c>
      <c r="B280" s="1" t="s">
        <v>30</v>
      </c>
      <c r="C280" s="2">
        <v>45775</v>
      </c>
      <c r="D280" s="1" t="s">
        <v>62</v>
      </c>
      <c r="E280" s="1" t="s">
        <v>63</v>
      </c>
      <c r="F280">
        <v>2089</v>
      </c>
      <c r="G280">
        <v>476</v>
      </c>
      <c r="H280">
        <v>69</v>
      </c>
      <c r="I280">
        <v>16712</v>
      </c>
      <c r="J280">
        <f>Posts[[#This Row],[Likes]]+Posts[[#This Row],[Shares]]+Posts[[#This Row],[Comments]]</f>
        <v>2634</v>
      </c>
      <c r="K280" s="10">
        <f>Posts[[#This Row],[Engagement]]/Posts[[#This Row],[Impressions]]</f>
        <v>0.15761129727142173</v>
      </c>
      <c r="L280">
        <v>16309</v>
      </c>
      <c r="M280">
        <v>64</v>
      </c>
      <c r="N280" s="1" t="s">
        <v>47</v>
      </c>
      <c r="O280" s="1" t="s">
        <v>15</v>
      </c>
    </row>
    <row r="281" spans="1:15" x14ac:dyDescent="0.35">
      <c r="A281" s="1" t="s">
        <v>332</v>
      </c>
      <c r="B281" s="1" t="s">
        <v>31</v>
      </c>
      <c r="C281" s="2">
        <v>45507</v>
      </c>
      <c r="D281" s="1" t="s">
        <v>45</v>
      </c>
      <c r="E281" s="1" t="s">
        <v>46</v>
      </c>
      <c r="F281">
        <v>3791</v>
      </c>
      <c r="G281">
        <v>593</v>
      </c>
      <c r="H281">
        <v>228</v>
      </c>
      <c r="I281">
        <v>53074</v>
      </c>
      <c r="J281">
        <f>Posts[[#This Row],[Likes]]+Posts[[#This Row],[Shares]]+Posts[[#This Row],[Comments]]</f>
        <v>4612</v>
      </c>
      <c r="K281" s="10">
        <f>Posts[[#This Row],[Engagement]]/Posts[[#This Row],[Impressions]]</f>
        <v>8.6897539284772202E-2</v>
      </c>
      <c r="L281">
        <v>52613</v>
      </c>
      <c r="M281">
        <v>205</v>
      </c>
      <c r="N281" s="1" t="s">
        <v>59</v>
      </c>
      <c r="O281" s="1" t="s">
        <v>80</v>
      </c>
    </row>
    <row r="282" spans="1:15" x14ac:dyDescent="0.35">
      <c r="A282" s="1" t="s">
        <v>333</v>
      </c>
      <c r="B282" s="1" t="s">
        <v>31</v>
      </c>
      <c r="C282" s="2">
        <v>45671</v>
      </c>
      <c r="D282" s="1" t="s">
        <v>67</v>
      </c>
      <c r="E282" s="1" t="s">
        <v>114</v>
      </c>
      <c r="F282">
        <v>2692</v>
      </c>
      <c r="G282">
        <v>115</v>
      </c>
      <c r="H282">
        <v>64</v>
      </c>
      <c r="I282">
        <v>21536</v>
      </c>
      <c r="J282">
        <f>Posts[[#This Row],[Likes]]+Posts[[#This Row],[Shares]]+Posts[[#This Row],[Comments]]</f>
        <v>2871</v>
      </c>
      <c r="K282" s="10">
        <f>Posts[[#This Row],[Engagement]]/Posts[[#This Row],[Impressions]]</f>
        <v>0.13331166419019316</v>
      </c>
      <c r="L282">
        <v>21120</v>
      </c>
      <c r="M282">
        <v>224</v>
      </c>
      <c r="N282" s="1" t="s">
        <v>47</v>
      </c>
      <c r="O282" s="1" t="s">
        <v>11</v>
      </c>
    </row>
    <row r="283" spans="1:15" x14ac:dyDescent="0.35">
      <c r="A283" s="1" t="s">
        <v>334</v>
      </c>
      <c r="B283" s="1" t="s">
        <v>30</v>
      </c>
      <c r="C283" s="2">
        <v>45750</v>
      </c>
      <c r="D283" s="1" t="s">
        <v>57</v>
      </c>
      <c r="E283" s="1" t="s">
        <v>79</v>
      </c>
      <c r="F283">
        <v>3767</v>
      </c>
      <c r="G283">
        <v>514</v>
      </c>
      <c r="H283">
        <v>238</v>
      </c>
      <c r="I283">
        <v>37670</v>
      </c>
      <c r="J283">
        <f>Posts[[#This Row],[Likes]]+Posts[[#This Row],[Shares]]+Posts[[#This Row],[Comments]]</f>
        <v>4519</v>
      </c>
      <c r="K283" s="10">
        <f>Posts[[#This Row],[Engagement]]/Posts[[#This Row],[Impressions]]</f>
        <v>0.11996283514733209</v>
      </c>
      <c r="L283">
        <v>36807</v>
      </c>
      <c r="M283">
        <v>226</v>
      </c>
      <c r="N283" s="1" t="s">
        <v>47</v>
      </c>
      <c r="O283" s="1" t="s">
        <v>19</v>
      </c>
    </row>
    <row r="284" spans="1:15" x14ac:dyDescent="0.35">
      <c r="A284" s="1" t="s">
        <v>335</v>
      </c>
      <c r="B284" s="1" t="s">
        <v>32</v>
      </c>
      <c r="C284" s="2">
        <v>45553</v>
      </c>
      <c r="D284" s="1" t="s">
        <v>62</v>
      </c>
      <c r="E284" s="1" t="s">
        <v>77</v>
      </c>
      <c r="F284">
        <v>2143</v>
      </c>
      <c r="G284">
        <v>12</v>
      </c>
      <c r="H284">
        <v>204</v>
      </c>
      <c r="I284">
        <v>40717</v>
      </c>
      <c r="J284">
        <f>Posts[[#This Row],[Likes]]+Posts[[#This Row],[Shares]]+Posts[[#This Row],[Comments]]</f>
        <v>2359</v>
      </c>
      <c r="K284" s="10">
        <f>Posts[[#This Row],[Engagement]]/Posts[[#This Row],[Impressions]]</f>
        <v>5.7936488444630008E-2</v>
      </c>
      <c r="L284">
        <v>40125</v>
      </c>
      <c r="M284">
        <v>248</v>
      </c>
      <c r="N284" s="1" t="s">
        <v>59</v>
      </c>
      <c r="O284" s="1" t="s">
        <v>11</v>
      </c>
    </row>
    <row r="285" spans="1:15" x14ac:dyDescent="0.35">
      <c r="A285" s="1" t="s">
        <v>336</v>
      </c>
      <c r="B285" s="1" t="s">
        <v>30</v>
      </c>
      <c r="C285" s="2">
        <v>45753</v>
      </c>
      <c r="D285" s="1" t="s">
        <v>67</v>
      </c>
      <c r="E285" s="1" t="s">
        <v>72</v>
      </c>
      <c r="F285">
        <v>3090</v>
      </c>
      <c r="G285">
        <v>697</v>
      </c>
      <c r="H285">
        <v>164</v>
      </c>
      <c r="I285">
        <v>49440</v>
      </c>
      <c r="J285">
        <f>Posts[[#This Row],[Likes]]+Posts[[#This Row],[Shares]]+Posts[[#This Row],[Comments]]</f>
        <v>3951</v>
      </c>
      <c r="K285" s="10">
        <f>Posts[[#This Row],[Engagement]]/Posts[[#This Row],[Impressions]]</f>
        <v>7.9915048543689318E-2</v>
      </c>
      <c r="L285">
        <v>48524</v>
      </c>
      <c r="M285">
        <v>25</v>
      </c>
      <c r="N285" s="1" t="s">
        <v>59</v>
      </c>
      <c r="O285" s="1" t="s">
        <v>11</v>
      </c>
    </row>
    <row r="286" spans="1:15" x14ac:dyDescent="0.35">
      <c r="A286" s="1" t="s">
        <v>336</v>
      </c>
      <c r="B286" s="1" t="s">
        <v>30</v>
      </c>
      <c r="C286" s="2">
        <v>45753</v>
      </c>
      <c r="D286" s="1" t="s">
        <v>67</v>
      </c>
      <c r="E286" s="1" t="s">
        <v>72</v>
      </c>
      <c r="F286">
        <v>3090</v>
      </c>
      <c r="G286">
        <v>697</v>
      </c>
      <c r="H286">
        <v>164</v>
      </c>
      <c r="I286">
        <v>49440</v>
      </c>
      <c r="J286">
        <f>Posts[[#This Row],[Likes]]+Posts[[#This Row],[Shares]]+Posts[[#This Row],[Comments]]</f>
        <v>3951</v>
      </c>
      <c r="K286" s="10">
        <f>Posts[[#This Row],[Engagement]]/Posts[[#This Row],[Impressions]]</f>
        <v>7.9915048543689318E-2</v>
      </c>
      <c r="L286">
        <v>48524</v>
      </c>
      <c r="M286">
        <v>25</v>
      </c>
      <c r="N286" s="1" t="s">
        <v>59</v>
      </c>
      <c r="O286" s="1" t="s">
        <v>11</v>
      </c>
    </row>
    <row r="287" spans="1:15" x14ac:dyDescent="0.35">
      <c r="A287" s="1" t="s">
        <v>336</v>
      </c>
      <c r="B287" s="1" t="s">
        <v>30</v>
      </c>
      <c r="C287" s="2">
        <v>45753</v>
      </c>
      <c r="D287" s="1" t="s">
        <v>67</v>
      </c>
      <c r="E287" s="1" t="s">
        <v>72</v>
      </c>
      <c r="F287">
        <v>3090</v>
      </c>
      <c r="G287">
        <v>697</v>
      </c>
      <c r="H287">
        <v>164</v>
      </c>
      <c r="I287">
        <v>49440</v>
      </c>
      <c r="J287">
        <f>Posts[[#This Row],[Likes]]+Posts[[#This Row],[Shares]]+Posts[[#This Row],[Comments]]</f>
        <v>3951</v>
      </c>
      <c r="K287" s="10">
        <f>Posts[[#This Row],[Engagement]]/Posts[[#This Row],[Impressions]]</f>
        <v>7.9915048543689318E-2</v>
      </c>
      <c r="L287">
        <v>48524</v>
      </c>
      <c r="M287">
        <v>25</v>
      </c>
      <c r="N287" s="1" t="s">
        <v>53</v>
      </c>
      <c r="O287" s="1" t="s">
        <v>11</v>
      </c>
    </row>
    <row r="288" spans="1:15" x14ac:dyDescent="0.35">
      <c r="A288" s="1" t="s">
        <v>337</v>
      </c>
      <c r="B288" s="1" t="s">
        <v>29</v>
      </c>
      <c r="C288" s="2">
        <v>45509</v>
      </c>
      <c r="D288" s="1" t="s">
        <v>57</v>
      </c>
      <c r="E288" s="1" t="s">
        <v>58</v>
      </c>
      <c r="F288">
        <v>3601</v>
      </c>
      <c r="G288">
        <v>695</v>
      </c>
      <c r="H288">
        <v>75</v>
      </c>
      <c r="I288">
        <v>21606</v>
      </c>
      <c r="J288">
        <f>Posts[[#This Row],[Likes]]+Posts[[#This Row],[Shares]]+Posts[[#This Row],[Comments]]</f>
        <v>4371</v>
      </c>
      <c r="K288" s="10">
        <f>Posts[[#This Row],[Engagement]]/Posts[[#This Row],[Impressions]]</f>
        <v>0.2023049153013052</v>
      </c>
      <c r="L288">
        <v>21454</v>
      </c>
      <c r="M288">
        <v>172</v>
      </c>
      <c r="N288" s="1" t="s">
        <v>59</v>
      </c>
      <c r="O288" s="1" t="s">
        <v>11</v>
      </c>
    </row>
    <row r="289" spans="1:15" x14ac:dyDescent="0.35">
      <c r="A289" s="1" t="s">
        <v>338</v>
      </c>
      <c r="B289" s="1" t="s">
        <v>30</v>
      </c>
      <c r="C289" s="2">
        <v>45698</v>
      </c>
      <c r="D289" s="1" t="s">
        <v>50</v>
      </c>
      <c r="E289" s="1" t="s">
        <v>70</v>
      </c>
      <c r="F289">
        <v>562</v>
      </c>
      <c r="G289">
        <v>158</v>
      </c>
      <c r="H289">
        <v>149</v>
      </c>
      <c r="I289">
        <v>3372</v>
      </c>
      <c r="J289">
        <f>Posts[[#This Row],[Likes]]+Posts[[#This Row],[Shares]]+Posts[[#This Row],[Comments]]</f>
        <v>869</v>
      </c>
      <c r="K289" s="10">
        <f>Posts[[#This Row],[Engagement]]/Posts[[#This Row],[Impressions]]</f>
        <v>0.25771055753262156</v>
      </c>
      <c r="L289">
        <v>2940</v>
      </c>
      <c r="M289">
        <v>93</v>
      </c>
      <c r="N289" s="1" t="s">
        <v>52</v>
      </c>
      <c r="O289" s="1" t="s">
        <v>7</v>
      </c>
    </row>
    <row r="290" spans="1:15" x14ac:dyDescent="0.35">
      <c r="A290" s="1" t="s">
        <v>339</v>
      </c>
      <c r="B290" s="1" t="s">
        <v>29</v>
      </c>
      <c r="C290" s="2">
        <v>45700</v>
      </c>
      <c r="D290" s="1" t="s">
        <v>57</v>
      </c>
      <c r="E290" s="1" t="s">
        <v>58</v>
      </c>
      <c r="F290">
        <v>4332</v>
      </c>
      <c r="G290">
        <v>771</v>
      </c>
      <c r="H290">
        <v>219</v>
      </c>
      <c r="I290">
        <v>60648</v>
      </c>
      <c r="J290">
        <f>Posts[[#This Row],[Likes]]+Posts[[#This Row],[Shares]]+Posts[[#This Row],[Comments]]</f>
        <v>5322</v>
      </c>
      <c r="K290" s="10">
        <f>Posts[[#This Row],[Engagement]]/Posts[[#This Row],[Impressions]]</f>
        <v>8.7752275425405618E-2</v>
      </c>
      <c r="L290">
        <v>60397</v>
      </c>
      <c r="M290">
        <v>10</v>
      </c>
      <c r="N290" s="1" t="s">
        <v>52</v>
      </c>
      <c r="O290" s="1" t="s">
        <v>15</v>
      </c>
    </row>
    <row r="291" spans="1:15" x14ac:dyDescent="0.35">
      <c r="A291" s="1" t="s">
        <v>339</v>
      </c>
      <c r="B291" s="1" t="s">
        <v>29</v>
      </c>
      <c r="C291" s="2">
        <v>45700</v>
      </c>
      <c r="D291" s="1" t="s">
        <v>57</v>
      </c>
      <c r="E291" s="1" t="s">
        <v>58</v>
      </c>
      <c r="F291">
        <v>4332</v>
      </c>
      <c r="G291">
        <v>771</v>
      </c>
      <c r="H291">
        <v>219</v>
      </c>
      <c r="I291">
        <v>60648</v>
      </c>
      <c r="J291">
        <f>Posts[[#This Row],[Likes]]+Posts[[#This Row],[Shares]]+Posts[[#This Row],[Comments]]</f>
        <v>5322</v>
      </c>
      <c r="K291" s="10">
        <f>Posts[[#This Row],[Engagement]]/Posts[[#This Row],[Impressions]]</f>
        <v>8.7752275425405618E-2</v>
      </c>
      <c r="L291">
        <v>60397</v>
      </c>
      <c r="M291">
        <v>10</v>
      </c>
      <c r="N291" s="1" t="s">
        <v>59</v>
      </c>
      <c r="O291" s="1" t="s">
        <v>15</v>
      </c>
    </row>
    <row r="292" spans="1:15" x14ac:dyDescent="0.35">
      <c r="A292" s="1" t="s">
        <v>339</v>
      </c>
      <c r="B292" s="1" t="s">
        <v>29</v>
      </c>
      <c r="C292" s="2">
        <v>45700</v>
      </c>
      <c r="D292" s="1" t="s">
        <v>57</v>
      </c>
      <c r="E292" s="1" t="s">
        <v>58</v>
      </c>
      <c r="F292">
        <v>4332</v>
      </c>
      <c r="G292">
        <v>771</v>
      </c>
      <c r="H292">
        <v>219</v>
      </c>
      <c r="I292">
        <v>60648</v>
      </c>
      <c r="J292">
        <f>Posts[[#This Row],[Likes]]+Posts[[#This Row],[Shares]]+Posts[[#This Row],[Comments]]</f>
        <v>5322</v>
      </c>
      <c r="K292" s="10">
        <f>Posts[[#This Row],[Engagement]]/Posts[[#This Row],[Impressions]]</f>
        <v>8.7752275425405618E-2</v>
      </c>
      <c r="L292">
        <v>60397</v>
      </c>
      <c r="M292">
        <v>10</v>
      </c>
      <c r="N292" s="1" t="s">
        <v>53</v>
      </c>
      <c r="O292" s="1" t="s">
        <v>15</v>
      </c>
    </row>
    <row r="293" spans="1:15" x14ac:dyDescent="0.35">
      <c r="A293" s="1" t="s">
        <v>340</v>
      </c>
      <c r="B293" s="1" t="s">
        <v>29</v>
      </c>
      <c r="C293" s="2">
        <v>45592</v>
      </c>
      <c r="D293" s="1" t="s">
        <v>67</v>
      </c>
      <c r="E293" s="1" t="s">
        <v>160</v>
      </c>
      <c r="F293">
        <v>4853</v>
      </c>
      <c r="G293">
        <v>837</v>
      </c>
      <c r="H293">
        <v>340</v>
      </c>
      <c r="I293">
        <v>72795</v>
      </c>
      <c r="J293">
        <f>Posts[[#This Row],[Likes]]+Posts[[#This Row],[Shares]]+Posts[[#This Row],[Comments]]</f>
        <v>6030</v>
      </c>
      <c r="K293" s="10">
        <f>Posts[[#This Row],[Engagement]]/Posts[[#This Row],[Impressions]]</f>
        <v>8.2835359571399134E-2</v>
      </c>
      <c r="L293">
        <v>72237</v>
      </c>
      <c r="M293">
        <v>170</v>
      </c>
      <c r="N293" s="1" t="s">
        <v>59</v>
      </c>
      <c r="O293" s="1" t="s">
        <v>7</v>
      </c>
    </row>
    <row r="294" spans="1:15" x14ac:dyDescent="0.35">
      <c r="A294" s="1" t="s">
        <v>341</v>
      </c>
      <c r="B294" s="1" t="s">
        <v>32</v>
      </c>
      <c r="C294" s="2">
        <v>45675</v>
      </c>
      <c r="D294" s="1" t="s">
        <v>67</v>
      </c>
      <c r="E294" s="1" t="s">
        <v>68</v>
      </c>
      <c r="F294">
        <v>1206</v>
      </c>
      <c r="G294">
        <v>238</v>
      </c>
      <c r="H294">
        <v>36</v>
      </c>
      <c r="I294">
        <v>9648</v>
      </c>
      <c r="J294">
        <f>Posts[[#This Row],[Likes]]+Posts[[#This Row],[Shares]]+Posts[[#This Row],[Comments]]</f>
        <v>1480</v>
      </c>
      <c r="K294" s="10">
        <f>Posts[[#This Row],[Engagement]]/Posts[[#This Row],[Impressions]]</f>
        <v>0.15339966832504145</v>
      </c>
      <c r="L294">
        <v>9417</v>
      </c>
      <c r="M294">
        <v>237</v>
      </c>
      <c r="N294" s="1" t="s">
        <v>52</v>
      </c>
      <c r="O294" s="1" t="s">
        <v>80</v>
      </c>
    </row>
    <row r="295" spans="1:15" x14ac:dyDescent="0.35">
      <c r="A295" s="1" t="s">
        <v>342</v>
      </c>
      <c r="B295" s="1" t="s">
        <v>29</v>
      </c>
      <c r="C295" s="2">
        <v>45524</v>
      </c>
      <c r="D295" s="1" t="s">
        <v>45</v>
      </c>
      <c r="E295" s="1" t="s">
        <v>87</v>
      </c>
      <c r="F295">
        <v>2603</v>
      </c>
      <c r="G295">
        <v>690</v>
      </c>
      <c r="H295">
        <v>205</v>
      </c>
      <c r="I295">
        <v>13015</v>
      </c>
      <c r="J295">
        <f>Posts[[#This Row],[Likes]]+Posts[[#This Row],[Shares]]+Posts[[#This Row],[Comments]]</f>
        <v>3498</v>
      </c>
      <c r="K295" s="10">
        <f>Posts[[#This Row],[Engagement]]/Posts[[#This Row],[Impressions]]</f>
        <v>0.26876680752977333</v>
      </c>
      <c r="L295">
        <v>12130</v>
      </c>
      <c r="M295">
        <v>20</v>
      </c>
      <c r="N295" s="1" t="s">
        <v>47</v>
      </c>
      <c r="O295" s="1" t="s">
        <v>11</v>
      </c>
    </row>
    <row r="296" spans="1:15" x14ac:dyDescent="0.35">
      <c r="A296" s="1" t="s">
        <v>343</v>
      </c>
      <c r="B296" s="1" t="s">
        <v>31</v>
      </c>
      <c r="C296" s="2">
        <v>45687</v>
      </c>
      <c r="D296" s="1" t="s">
        <v>67</v>
      </c>
      <c r="E296" s="1" t="s">
        <v>114</v>
      </c>
      <c r="F296">
        <v>59</v>
      </c>
      <c r="G296">
        <v>163</v>
      </c>
      <c r="H296">
        <v>93</v>
      </c>
      <c r="I296">
        <v>590</v>
      </c>
      <c r="J296">
        <f>Posts[[#This Row],[Likes]]+Posts[[#This Row],[Shares]]+Posts[[#This Row],[Comments]]</f>
        <v>315</v>
      </c>
      <c r="K296" s="10">
        <f>Posts[[#This Row],[Engagement]]/Posts[[#This Row],[Impressions]]</f>
        <v>0.53389830508474578</v>
      </c>
      <c r="L296">
        <v>475</v>
      </c>
      <c r="M296">
        <v>293</v>
      </c>
      <c r="N296" s="1" t="s">
        <v>52</v>
      </c>
      <c r="O296" s="1" t="s">
        <v>11</v>
      </c>
    </row>
    <row r="297" spans="1:15" x14ac:dyDescent="0.35">
      <c r="A297" s="1" t="s">
        <v>344</v>
      </c>
      <c r="B297" s="1" t="s">
        <v>31</v>
      </c>
      <c r="C297" s="2">
        <v>45708</v>
      </c>
      <c r="D297" s="1" t="s">
        <v>62</v>
      </c>
      <c r="E297" s="1" t="s">
        <v>65</v>
      </c>
      <c r="F297">
        <v>1877</v>
      </c>
      <c r="G297">
        <v>745</v>
      </c>
      <c r="H297">
        <v>225</v>
      </c>
      <c r="I297">
        <v>11262</v>
      </c>
      <c r="J297">
        <f>Posts[[#This Row],[Likes]]+Posts[[#This Row],[Shares]]+Posts[[#This Row],[Comments]]</f>
        <v>2847</v>
      </c>
      <c r="K297" s="10">
        <f>Posts[[#This Row],[Engagement]]/Posts[[#This Row],[Impressions]]</f>
        <v>0.25279701651571657</v>
      </c>
      <c r="L297">
        <v>10967</v>
      </c>
      <c r="M297">
        <v>41</v>
      </c>
      <c r="N297" s="1" t="s">
        <v>59</v>
      </c>
      <c r="O297" s="1" t="s">
        <v>19</v>
      </c>
    </row>
    <row r="298" spans="1:15" x14ac:dyDescent="0.35">
      <c r="A298" s="1" t="s">
        <v>345</v>
      </c>
      <c r="B298" s="1" t="s">
        <v>30</v>
      </c>
      <c r="C298" s="2">
        <v>45621</v>
      </c>
      <c r="D298" s="1" t="s">
        <v>57</v>
      </c>
      <c r="E298" s="1" t="s">
        <v>79</v>
      </c>
      <c r="F298">
        <v>4182</v>
      </c>
      <c r="G298">
        <v>640</v>
      </c>
      <c r="H298">
        <v>240</v>
      </c>
      <c r="I298">
        <v>50184</v>
      </c>
      <c r="J298">
        <f>Posts[[#This Row],[Likes]]+Posts[[#This Row],[Shares]]+Posts[[#This Row],[Comments]]</f>
        <v>5062</v>
      </c>
      <c r="K298" s="10">
        <f>Posts[[#This Row],[Engagement]]/Posts[[#This Row],[Impressions]]</f>
        <v>0.10086880280567512</v>
      </c>
      <c r="L298">
        <v>49351</v>
      </c>
      <c r="M298">
        <v>10</v>
      </c>
      <c r="N298" s="1" t="s">
        <v>52</v>
      </c>
      <c r="O298" s="1" t="s">
        <v>15</v>
      </c>
    </row>
    <row r="299" spans="1:15" x14ac:dyDescent="0.35">
      <c r="A299" s="1" t="s">
        <v>346</v>
      </c>
      <c r="B299" s="1" t="s">
        <v>31</v>
      </c>
      <c r="C299" s="2">
        <v>45569</v>
      </c>
      <c r="D299" s="1" t="s">
        <v>45</v>
      </c>
      <c r="E299" s="1" t="s">
        <v>46</v>
      </c>
      <c r="F299">
        <v>4187</v>
      </c>
      <c r="G299">
        <v>66</v>
      </c>
      <c r="H299">
        <v>31</v>
      </c>
      <c r="I299">
        <v>66992</v>
      </c>
      <c r="J299">
        <f>Posts[[#This Row],[Likes]]+Posts[[#This Row],[Shares]]+Posts[[#This Row],[Comments]]</f>
        <v>4284</v>
      </c>
      <c r="K299" s="10">
        <f>Posts[[#This Row],[Engagement]]/Posts[[#This Row],[Impressions]]</f>
        <v>6.3947934081681396E-2</v>
      </c>
      <c r="L299">
        <v>66614</v>
      </c>
      <c r="M299">
        <v>62</v>
      </c>
      <c r="N299" s="1" t="s">
        <v>47</v>
      </c>
      <c r="O299" s="1" t="s">
        <v>80</v>
      </c>
    </row>
    <row r="300" spans="1:15" x14ac:dyDescent="0.35">
      <c r="A300" s="1" t="s">
        <v>347</v>
      </c>
      <c r="B300" s="1" t="s">
        <v>29</v>
      </c>
      <c r="C300" s="2">
        <v>45760</v>
      </c>
      <c r="D300" s="1" t="s">
        <v>45</v>
      </c>
      <c r="E300" s="1" t="s">
        <v>87</v>
      </c>
      <c r="F300">
        <v>4579</v>
      </c>
      <c r="G300">
        <v>125</v>
      </c>
      <c r="H300">
        <v>300</v>
      </c>
      <c r="I300">
        <v>59527</v>
      </c>
      <c r="J300">
        <f>Posts[[#This Row],[Likes]]+Posts[[#This Row],[Shares]]+Posts[[#This Row],[Comments]]</f>
        <v>5004</v>
      </c>
      <c r="K300" s="10">
        <f>Posts[[#This Row],[Engagement]]/Posts[[#This Row],[Impressions]]</f>
        <v>8.4062694239588759E-2</v>
      </c>
      <c r="L300">
        <v>59400</v>
      </c>
      <c r="M300">
        <v>269</v>
      </c>
      <c r="N300" s="1" t="s">
        <v>59</v>
      </c>
      <c r="O300" s="1" t="s">
        <v>7</v>
      </c>
    </row>
    <row r="301" spans="1:15" x14ac:dyDescent="0.35">
      <c r="A301" s="1" t="s">
        <v>348</v>
      </c>
      <c r="B301" s="1" t="s">
        <v>29</v>
      </c>
      <c r="C301" s="2">
        <v>45601</v>
      </c>
      <c r="D301" s="1" t="s">
        <v>82</v>
      </c>
      <c r="E301" s="1" t="s">
        <v>89</v>
      </c>
      <c r="F301">
        <v>4561</v>
      </c>
      <c r="G301">
        <v>51</v>
      </c>
      <c r="H301">
        <v>441</v>
      </c>
      <c r="I301">
        <v>22805</v>
      </c>
      <c r="J301">
        <f>Posts[[#This Row],[Likes]]+Posts[[#This Row],[Shares]]+Posts[[#This Row],[Comments]]</f>
        <v>5053</v>
      </c>
      <c r="K301" s="10">
        <f>Posts[[#This Row],[Engagement]]/Posts[[#This Row],[Impressions]]</f>
        <v>0.22157421618066214</v>
      </c>
      <c r="L301">
        <v>21890</v>
      </c>
      <c r="M301">
        <v>45</v>
      </c>
      <c r="N301" s="1" t="s">
        <v>52</v>
      </c>
      <c r="O301" s="1" t="s">
        <v>11</v>
      </c>
    </row>
    <row r="302" spans="1:15" x14ac:dyDescent="0.35">
      <c r="A302" s="1" t="s">
        <v>349</v>
      </c>
      <c r="B302" s="1" t="s">
        <v>32</v>
      </c>
      <c r="C302" s="2">
        <v>45672</v>
      </c>
      <c r="D302" s="1" t="s">
        <v>45</v>
      </c>
      <c r="E302" s="1" t="s">
        <v>55</v>
      </c>
      <c r="F302">
        <v>3774</v>
      </c>
      <c r="G302">
        <v>239</v>
      </c>
      <c r="H302">
        <v>39</v>
      </c>
      <c r="I302">
        <v>60384</v>
      </c>
      <c r="J302">
        <f>Posts[[#This Row],[Likes]]+Posts[[#This Row],[Shares]]+Posts[[#This Row],[Comments]]</f>
        <v>4052</v>
      </c>
      <c r="K302" s="10">
        <f>Posts[[#This Row],[Engagement]]/Posts[[#This Row],[Impressions]]</f>
        <v>6.7103868574456813E-2</v>
      </c>
      <c r="L302">
        <v>59490</v>
      </c>
      <c r="M302">
        <v>241</v>
      </c>
      <c r="N302" s="1" t="s">
        <v>52</v>
      </c>
      <c r="O302" s="1" t="s">
        <v>15</v>
      </c>
    </row>
    <row r="303" spans="1:15" x14ac:dyDescent="0.35">
      <c r="A303" s="1" t="s">
        <v>350</v>
      </c>
      <c r="B303" s="1" t="s">
        <v>29</v>
      </c>
      <c r="C303" s="2">
        <v>45582</v>
      </c>
      <c r="D303" s="1" t="s">
        <v>82</v>
      </c>
      <c r="E303" s="1" t="s">
        <v>89</v>
      </c>
      <c r="F303">
        <v>3575</v>
      </c>
      <c r="G303">
        <v>749</v>
      </c>
      <c r="H303">
        <v>111</v>
      </c>
      <c r="I303">
        <v>21450</v>
      </c>
      <c r="J303">
        <f>Posts[[#This Row],[Likes]]+Posts[[#This Row],[Shares]]+Posts[[#This Row],[Comments]]</f>
        <v>4435</v>
      </c>
      <c r="K303" s="10">
        <f>Posts[[#This Row],[Engagement]]/Posts[[#This Row],[Impressions]]</f>
        <v>0.20675990675990677</v>
      </c>
      <c r="L303">
        <v>20785</v>
      </c>
      <c r="M303">
        <v>195</v>
      </c>
      <c r="N303" s="1" t="s">
        <v>59</v>
      </c>
      <c r="O303" s="1" t="s">
        <v>11</v>
      </c>
    </row>
    <row r="304" spans="1:15" x14ac:dyDescent="0.35">
      <c r="A304" s="1" t="s">
        <v>351</v>
      </c>
      <c r="B304" s="1" t="s">
        <v>29</v>
      </c>
      <c r="C304" s="2">
        <v>45743</v>
      </c>
      <c r="D304" s="1" t="s">
        <v>50</v>
      </c>
      <c r="E304" s="1" t="s">
        <v>104</v>
      </c>
      <c r="F304">
        <v>4941</v>
      </c>
      <c r="G304">
        <v>414</v>
      </c>
      <c r="H304">
        <v>266</v>
      </c>
      <c r="I304">
        <v>39528</v>
      </c>
      <c r="J304">
        <f>Posts[[#This Row],[Likes]]+Posts[[#This Row],[Shares]]+Posts[[#This Row],[Comments]]</f>
        <v>5621</v>
      </c>
      <c r="K304" s="10">
        <f>Posts[[#This Row],[Engagement]]/Posts[[#This Row],[Impressions]]</f>
        <v>0.14220299534507186</v>
      </c>
      <c r="L304">
        <v>39154</v>
      </c>
      <c r="M304">
        <v>217</v>
      </c>
      <c r="N304" s="1" t="s">
        <v>52</v>
      </c>
      <c r="O304" s="1" t="s">
        <v>15</v>
      </c>
    </row>
    <row r="305" spans="1:15" x14ac:dyDescent="0.35">
      <c r="A305" s="1" t="s">
        <v>352</v>
      </c>
      <c r="B305" s="1" t="s">
        <v>32</v>
      </c>
      <c r="C305" s="2">
        <v>45577</v>
      </c>
      <c r="D305" s="1" t="s">
        <v>57</v>
      </c>
      <c r="E305" s="1" t="s">
        <v>127</v>
      </c>
      <c r="F305">
        <v>3641</v>
      </c>
      <c r="G305">
        <v>226</v>
      </c>
      <c r="H305">
        <v>46</v>
      </c>
      <c r="I305">
        <v>40051</v>
      </c>
      <c r="J305">
        <f>Posts[[#This Row],[Likes]]+Posts[[#This Row],[Shares]]+Posts[[#This Row],[Comments]]</f>
        <v>3913</v>
      </c>
      <c r="K305" s="10">
        <f>Posts[[#This Row],[Engagement]]/Posts[[#This Row],[Impressions]]</f>
        <v>9.7700431949264685E-2</v>
      </c>
      <c r="L305">
        <v>39319</v>
      </c>
      <c r="M305">
        <v>296</v>
      </c>
      <c r="N305" s="1" t="s">
        <v>59</v>
      </c>
      <c r="O305" s="1" t="s">
        <v>19</v>
      </c>
    </row>
    <row r="306" spans="1:15" x14ac:dyDescent="0.35">
      <c r="A306" s="1" t="s">
        <v>353</v>
      </c>
      <c r="B306" s="1" t="s">
        <v>31</v>
      </c>
      <c r="C306" s="2">
        <v>45658</v>
      </c>
      <c r="D306" s="1" t="s">
        <v>62</v>
      </c>
      <c r="E306" s="1" t="s">
        <v>65</v>
      </c>
      <c r="F306">
        <v>3535</v>
      </c>
      <c r="G306">
        <v>494</v>
      </c>
      <c r="H306">
        <v>152</v>
      </c>
      <c r="I306">
        <v>53025</v>
      </c>
      <c r="J306">
        <f>Posts[[#This Row],[Likes]]+Posts[[#This Row],[Shares]]+Posts[[#This Row],[Comments]]</f>
        <v>4181</v>
      </c>
      <c r="K306" s="10">
        <f>Posts[[#This Row],[Engagement]]/Posts[[#This Row],[Impressions]]</f>
        <v>7.8849599245638849E-2</v>
      </c>
      <c r="L306">
        <v>52791</v>
      </c>
      <c r="M306">
        <v>44</v>
      </c>
      <c r="N306" s="1" t="s">
        <v>52</v>
      </c>
      <c r="O306" s="1" t="s">
        <v>19</v>
      </c>
    </row>
    <row r="307" spans="1:15" x14ac:dyDescent="0.35">
      <c r="A307" s="1" t="s">
        <v>354</v>
      </c>
      <c r="B307" s="1" t="s">
        <v>30</v>
      </c>
      <c r="C307" s="2">
        <v>45509</v>
      </c>
      <c r="D307" s="1" t="s">
        <v>45</v>
      </c>
      <c r="E307" s="1" t="s">
        <v>75</v>
      </c>
      <c r="F307">
        <v>1741</v>
      </c>
      <c r="G307">
        <v>831</v>
      </c>
      <c r="H307">
        <v>345</v>
      </c>
      <c r="I307">
        <v>17410</v>
      </c>
      <c r="J307">
        <f>Posts[[#This Row],[Likes]]+Posts[[#This Row],[Shares]]+Posts[[#This Row],[Comments]]</f>
        <v>2917</v>
      </c>
      <c r="K307" s="10">
        <f>Posts[[#This Row],[Engagement]]/Posts[[#This Row],[Impressions]]</f>
        <v>0.16754738655944859</v>
      </c>
      <c r="L307">
        <v>16844</v>
      </c>
      <c r="M307">
        <v>58</v>
      </c>
      <c r="N307" s="1" t="s">
        <v>59</v>
      </c>
      <c r="O307" s="1" t="s">
        <v>15</v>
      </c>
    </row>
    <row r="308" spans="1:15" x14ac:dyDescent="0.35">
      <c r="A308" s="1" t="s">
        <v>355</v>
      </c>
      <c r="B308" s="1" t="s">
        <v>31</v>
      </c>
      <c r="C308" s="2">
        <v>45450</v>
      </c>
      <c r="D308" s="1" t="s">
        <v>62</v>
      </c>
      <c r="E308" s="1" t="s">
        <v>65</v>
      </c>
      <c r="F308">
        <v>1556</v>
      </c>
      <c r="G308">
        <v>195</v>
      </c>
      <c r="H308">
        <v>131</v>
      </c>
      <c r="I308">
        <v>9336</v>
      </c>
      <c r="J308">
        <f>Posts[[#This Row],[Likes]]+Posts[[#This Row],[Shares]]+Posts[[#This Row],[Comments]]</f>
        <v>1882</v>
      </c>
      <c r="K308" s="10">
        <f>Posts[[#This Row],[Engagement]]/Posts[[#This Row],[Impressions]]</f>
        <v>0.2015852613538989</v>
      </c>
      <c r="L308">
        <v>8875</v>
      </c>
      <c r="M308">
        <v>137</v>
      </c>
      <c r="N308" s="1" t="s">
        <v>52</v>
      </c>
      <c r="O308" s="1" t="s">
        <v>11</v>
      </c>
    </row>
    <row r="309" spans="1:15" x14ac:dyDescent="0.35">
      <c r="A309" s="1" t="s">
        <v>356</v>
      </c>
      <c r="B309" s="1" t="s">
        <v>30</v>
      </c>
      <c r="C309" s="2">
        <v>45753</v>
      </c>
      <c r="D309" s="1" t="s">
        <v>67</v>
      </c>
      <c r="E309" s="1" t="s">
        <v>72</v>
      </c>
      <c r="F309">
        <v>4236</v>
      </c>
      <c r="G309">
        <v>711</v>
      </c>
      <c r="H309">
        <v>298</v>
      </c>
      <c r="I309">
        <v>21180</v>
      </c>
      <c r="J309">
        <f>Posts[[#This Row],[Likes]]+Posts[[#This Row],[Shares]]+Posts[[#This Row],[Comments]]</f>
        <v>5245</v>
      </c>
      <c r="K309" s="10">
        <f>Posts[[#This Row],[Engagement]]/Posts[[#This Row],[Impressions]]</f>
        <v>0.24763928234183191</v>
      </c>
      <c r="L309">
        <v>20516</v>
      </c>
      <c r="M309">
        <v>238</v>
      </c>
      <c r="N309" s="1" t="s">
        <v>47</v>
      </c>
      <c r="O309" s="1" t="s">
        <v>7</v>
      </c>
    </row>
    <row r="310" spans="1:15" x14ac:dyDescent="0.35">
      <c r="A310" s="1" t="s">
        <v>357</v>
      </c>
      <c r="B310" s="1" t="s">
        <v>31</v>
      </c>
      <c r="C310" s="2">
        <v>45622</v>
      </c>
      <c r="D310" s="1" t="s">
        <v>50</v>
      </c>
      <c r="E310" s="1" t="s">
        <v>51</v>
      </c>
      <c r="F310">
        <v>4516</v>
      </c>
      <c r="G310">
        <v>836</v>
      </c>
      <c r="H310">
        <v>169</v>
      </c>
      <c r="I310">
        <v>49676</v>
      </c>
      <c r="J310">
        <f>Posts[[#This Row],[Likes]]+Posts[[#This Row],[Shares]]+Posts[[#This Row],[Comments]]</f>
        <v>5521</v>
      </c>
      <c r="K310" s="10">
        <f>Posts[[#This Row],[Engagement]]/Posts[[#This Row],[Impressions]]</f>
        <v>0.11114018842096787</v>
      </c>
      <c r="L310">
        <v>49257</v>
      </c>
      <c r="M310">
        <v>282</v>
      </c>
      <c r="N310" s="1" t="s">
        <v>59</v>
      </c>
      <c r="O310" s="1" t="s">
        <v>19</v>
      </c>
    </row>
    <row r="311" spans="1:15" x14ac:dyDescent="0.35">
      <c r="A311" s="1" t="s">
        <v>358</v>
      </c>
      <c r="B311" s="1" t="s">
        <v>32</v>
      </c>
      <c r="C311" s="2">
        <v>45537</v>
      </c>
      <c r="D311" s="1" t="s">
        <v>67</v>
      </c>
      <c r="E311" s="1" t="s">
        <v>68</v>
      </c>
      <c r="F311">
        <v>4905</v>
      </c>
      <c r="G311">
        <v>845</v>
      </c>
      <c r="H311">
        <v>129</v>
      </c>
      <c r="I311">
        <v>98100</v>
      </c>
      <c r="J311">
        <f>Posts[[#This Row],[Likes]]+Posts[[#This Row],[Shares]]+Posts[[#This Row],[Comments]]</f>
        <v>5879</v>
      </c>
      <c r="K311" s="10">
        <f>Posts[[#This Row],[Engagement]]/Posts[[#This Row],[Impressions]]</f>
        <v>5.9928644240570844E-2</v>
      </c>
      <c r="L311">
        <v>97772</v>
      </c>
      <c r="M311">
        <v>279</v>
      </c>
      <c r="N311" s="1" t="s">
        <v>52</v>
      </c>
      <c r="O311" s="1" t="s">
        <v>11</v>
      </c>
    </row>
    <row r="312" spans="1:15" x14ac:dyDescent="0.35">
      <c r="A312" s="1" t="s">
        <v>359</v>
      </c>
      <c r="B312" s="1" t="s">
        <v>32</v>
      </c>
      <c r="C312" s="2">
        <v>45586</v>
      </c>
      <c r="D312" s="1" t="s">
        <v>82</v>
      </c>
      <c r="E312" s="1" t="s">
        <v>162</v>
      </c>
      <c r="F312">
        <v>4275</v>
      </c>
      <c r="G312">
        <v>680</v>
      </c>
      <c r="H312">
        <v>385</v>
      </c>
      <c r="I312">
        <v>64125</v>
      </c>
      <c r="J312">
        <f>Posts[[#This Row],[Likes]]+Posts[[#This Row],[Shares]]+Posts[[#This Row],[Comments]]</f>
        <v>5340</v>
      </c>
      <c r="K312" s="10">
        <f>Posts[[#This Row],[Engagement]]/Posts[[#This Row],[Impressions]]</f>
        <v>8.3274853801169585E-2</v>
      </c>
      <c r="L312">
        <v>63650</v>
      </c>
      <c r="M312">
        <v>104</v>
      </c>
      <c r="N312" s="1" t="s">
        <v>59</v>
      </c>
      <c r="O312" s="1" t="s">
        <v>19</v>
      </c>
    </row>
    <row r="313" spans="1:15" x14ac:dyDescent="0.35">
      <c r="A313" s="1" t="s">
        <v>359</v>
      </c>
      <c r="B313" s="1" t="s">
        <v>32</v>
      </c>
      <c r="C313" s="2">
        <v>45586</v>
      </c>
      <c r="D313" s="1" t="s">
        <v>82</v>
      </c>
      <c r="E313" s="1" t="s">
        <v>162</v>
      </c>
      <c r="F313">
        <v>4275</v>
      </c>
      <c r="G313">
        <v>680</v>
      </c>
      <c r="H313">
        <v>385</v>
      </c>
      <c r="I313">
        <v>64125</v>
      </c>
      <c r="J313">
        <f>Posts[[#This Row],[Likes]]+Posts[[#This Row],[Shares]]+Posts[[#This Row],[Comments]]</f>
        <v>5340</v>
      </c>
      <c r="K313" s="10">
        <f>Posts[[#This Row],[Engagement]]/Posts[[#This Row],[Impressions]]</f>
        <v>8.3274853801169585E-2</v>
      </c>
      <c r="L313">
        <v>63650</v>
      </c>
      <c r="M313">
        <v>104</v>
      </c>
      <c r="N313" s="1" t="s">
        <v>52</v>
      </c>
      <c r="O313" s="1" t="s">
        <v>19</v>
      </c>
    </row>
    <row r="314" spans="1:15" x14ac:dyDescent="0.35">
      <c r="A314" s="1" t="s">
        <v>359</v>
      </c>
      <c r="B314" s="1" t="s">
        <v>32</v>
      </c>
      <c r="C314" s="2">
        <v>45586</v>
      </c>
      <c r="D314" s="1" t="s">
        <v>82</v>
      </c>
      <c r="E314" s="1" t="s">
        <v>162</v>
      </c>
      <c r="F314">
        <v>4275</v>
      </c>
      <c r="G314">
        <v>680</v>
      </c>
      <c r="H314">
        <v>385</v>
      </c>
      <c r="I314">
        <v>64125</v>
      </c>
      <c r="J314">
        <f>Posts[[#This Row],[Likes]]+Posts[[#This Row],[Shares]]+Posts[[#This Row],[Comments]]</f>
        <v>5340</v>
      </c>
      <c r="K314" s="10">
        <f>Posts[[#This Row],[Engagement]]/Posts[[#This Row],[Impressions]]</f>
        <v>8.3274853801169585E-2</v>
      </c>
      <c r="L314">
        <v>63650</v>
      </c>
      <c r="M314">
        <v>104</v>
      </c>
      <c r="N314" s="1" t="s">
        <v>48</v>
      </c>
      <c r="O314" s="1" t="s">
        <v>19</v>
      </c>
    </row>
    <row r="315" spans="1:15" x14ac:dyDescent="0.35">
      <c r="A315" s="1" t="s">
        <v>360</v>
      </c>
      <c r="B315" s="1" t="s">
        <v>32</v>
      </c>
      <c r="C315" s="2">
        <v>45738</v>
      </c>
      <c r="D315" s="1" t="s">
        <v>67</v>
      </c>
      <c r="E315" s="1" t="s">
        <v>68</v>
      </c>
      <c r="F315">
        <v>3166</v>
      </c>
      <c r="G315">
        <v>90</v>
      </c>
      <c r="H315">
        <v>341</v>
      </c>
      <c r="I315">
        <v>56988</v>
      </c>
      <c r="J315">
        <f>Posts[[#This Row],[Likes]]+Posts[[#This Row],[Shares]]+Posts[[#This Row],[Comments]]</f>
        <v>3597</v>
      </c>
      <c r="K315" s="10">
        <f>Posts[[#This Row],[Engagement]]/Posts[[#This Row],[Impressions]]</f>
        <v>6.3118551273952411E-2</v>
      </c>
      <c r="L315">
        <v>56125</v>
      </c>
      <c r="M315">
        <v>135</v>
      </c>
      <c r="N315" s="1" t="s">
        <v>59</v>
      </c>
      <c r="O315" s="1" t="s">
        <v>11</v>
      </c>
    </row>
    <row r="316" spans="1:15" x14ac:dyDescent="0.35">
      <c r="A316" s="1" t="s">
        <v>361</v>
      </c>
      <c r="B316" s="1" t="s">
        <v>29</v>
      </c>
      <c r="C316" s="2">
        <v>45568</v>
      </c>
      <c r="D316" s="1" t="s">
        <v>82</v>
      </c>
      <c r="E316" s="1" t="s">
        <v>89</v>
      </c>
      <c r="F316">
        <v>1488</v>
      </c>
      <c r="G316">
        <v>417</v>
      </c>
      <c r="H316">
        <v>168</v>
      </c>
      <c r="I316">
        <v>19344</v>
      </c>
      <c r="J316">
        <f>Posts[[#This Row],[Likes]]+Posts[[#This Row],[Shares]]+Posts[[#This Row],[Comments]]</f>
        <v>2073</v>
      </c>
      <c r="K316" s="10">
        <f>Posts[[#This Row],[Engagement]]/Posts[[#This Row],[Impressions]]</f>
        <v>0.1071650124069479</v>
      </c>
      <c r="L316">
        <v>18395</v>
      </c>
      <c r="M316">
        <v>30</v>
      </c>
      <c r="N316" s="1" t="s">
        <v>47</v>
      </c>
      <c r="O316" s="1" t="s">
        <v>15</v>
      </c>
    </row>
    <row r="317" spans="1:15" x14ac:dyDescent="0.35">
      <c r="A317" s="1" t="s">
        <v>362</v>
      </c>
      <c r="B317" s="1" t="s">
        <v>31</v>
      </c>
      <c r="C317" s="2">
        <v>45786</v>
      </c>
      <c r="D317" s="1" t="s">
        <v>45</v>
      </c>
      <c r="E317" s="1" t="s">
        <v>46</v>
      </c>
      <c r="F317">
        <v>3367</v>
      </c>
      <c r="G317">
        <v>302</v>
      </c>
      <c r="H317">
        <v>57</v>
      </c>
      <c r="I317">
        <v>63973</v>
      </c>
      <c r="J317">
        <f>Posts[[#This Row],[Likes]]+Posts[[#This Row],[Shares]]+Posts[[#This Row],[Comments]]</f>
        <v>3726</v>
      </c>
      <c r="K317" s="10">
        <f>Posts[[#This Row],[Engagement]]/Posts[[#This Row],[Impressions]]</f>
        <v>5.8243321401216137E-2</v>
      </c>
      <c r="L317">
        <v>63789</v>
      </c>
      <c r="M317">
        <v>157</v>
      </c>
      <c r="N317" s="1" t="s">
        <v>47</v>
      </c>
      <c r="O317" s="1" t="s">
        <v>11</v>
      </c>
    </row>
    <row r="318" spans="1:15" x14ac:dyDescent="0.35">
      <c r="A318" s="1" t="s">
        <v>363</v>
      </c>
      <c r="B318" s="1" t="s">
        <v>31</v>
      </c>
      <c r="C318" s="2">
        <v>45552</v>
      </c>
      <c r="D318" s="1" t="s">
        <v>50</v>
      </c>
      <c r="E318" s="1" t="s">
        <v>51</v>
      </c>
      <c r="F318">
        <v>571</v>
      </c>
      <c r="G318">
        <v>190</v>
      </c>
      <c r="H318">
        <v>352</v>
      </c>
      <c r="I318">
        <v>9707</v>
      </c>
      <c r="J318">
        <f>Posts[[#This Row],[Likes]]+Posts[[#This Row],[Shares]]+Posts[[#This Row],[Comments]]</f>
        <v>1113</v>
      </c>
      <c r="K318" s="10">
        <f>Posts[[#This Row],[Engagement]]/Posts[[#This Row],[Impressions]]</f>
        <v>0.11465952405480581</v>
      </c>
      <c r="L318">
        <v>9418</v>
      </c>
      <c r="M318">
        <v>231</v>
      </c>
      <c r="N318" s="1" t="s">
        <v>52</v>
      </c>
      <c r="O318" s="1" t="s">
        <v>19</v>
      </c>
    </row>
    <row r="319" spans="1:15" x14ac:dyDescent="0.35">
      <c r="A319" s="1" t="s">
        <v>364</v>
      </c>
      <c r="B319" s="1" t="s">
        <v>32</v>
      </c>
      <c r="C319" s="2">
        <v>45491</v>
      </c>
      <c r="D319" s="1" t="s">
        <v>50</v>
      </c>
      <c r="E319" s="1" t="s">
        <v>99</v>
      </c>
      <c r="F319">
        <v>4021</v>
      </c>
      <c r="G319">
        <v>794</v>
      </c>
      <c r="H319">
        <v>77</v>
      </c>
      <c r="I319">
        <v>36189</v>
      </c>
      <c r="J319">
        <f>Posts[[#This Row],[Likes]]+Posts[[#This Row],[Shares]]+Posts[[#This Row],[Comments]]</f>
        <v>4892</v>
      </c>
      <c r="K319" s="10">
        <f>Posts[[#This Row],[Engagement]]/Posts[[#This Row],[Impressions]]</f>
        <v>0.13517919809886983</v>
      </c>
      <c r="L319">
        <v>35505</v>
      </c>
      <c r="M319">
        <v>174</v>
      </c>
      <c r="N319" s="1" t="s">
        <v>59</v>
      </c>
      <c r="O319" s="1" t="s">
        <v>80</v>
      </c>
    </row>
    <row r="320" spans="1:15" x14ac:dyDescent="0.35">
      <c r="A320" s="1" t="s">
        <v>365</v>
      </c>
      <c r="B320" s="1" t="s">
        <v>32</v>
      </c>
      <c r="C320" s="2">
        <v>45560</v>
      </c>
      <c r="D320" s="1" t="s">
        <v>82</v>
      </c>
      <c r="E320" s="1" t="s">
        <v>162</v>
      </c>
      <c r="F320">
        <v>3389</v>
      </c>
      <c r="G320">
        <v>344</v>
      </c>
      <c r="H320">
        <v>229</v>
      </c>
      <c r="I320">
        <v>20334</v>
      </c>
      <c r="J320">
        <f>Posts[[#This Row],[Likes]]+Posts[[#This Row],[Shares]]+Posts[[#This Row],[Comments]]</f>
        <v>3962</v>
      </c>
      <c r="K320" s="10">
        <f>Posts[[#This Row],[Engagement]]/Posts[[#This Row],[Impressions]]</f>
        <v>0.19484607062063539</v>
      </c>
      <c r="L320">
        <v>19443</v>
      </c>
      <c r="M320">
        <v>228</v>
      </c>
      <c r="N320" s="1" t="s">
        <v>47</v>
      </c>
      <c r="O320" s="1" t="s">
        <v>15</v>
      </c>
    </row>
    <row r="321" spans="1:15" x14ac:dyDescent="0.35">
      <c r="A321" s="1" t="s">
        <v>366</v>
      </c>
      <c r="B321" s="1" t="s">
        <v>29</v>
      </c>
      <c r="C321" s="2">
        <v>45519</v>
      </c>
      <c r="D321" s="1" t="s">
        <v>45</v>
      </c>
      <c r="E321" s="1" t="s">
        <v>87</v>
      </c>
      <c r="F321">
        <v>1164</v>
      </c>
      <c r="G321">
        <v>616</v>
      </c>
      <c r="H321">
        <v>324</v>
      </c>
      <c r="I321">
        <v>6984</v>
      </c>
      <c r="J321">
        <f>Posts[[#This Row],[Likes]]+Posts[[#This Row],[Shares]]+Posts[[#This Row],[Comments]]</f>
        <v>2104</v>
      </c>
      <c r="K321" s="10">
        <f>Posts[[#This Row],[Engagement]]/Posts[[#This Row],[Impressions]]</f>
        <v>0.30126002290950743</v>
      </c>
      <c r="L321">
        <v>6636</v>
      </c>
      <c r="M321">
        <v>82</v>
      </c>
      <c r="N321" s="1" t="s">
        <v>59</v>
      </c>
      <c r="O321" s="1" t="s">
        <v>7</v>
      </c>
    </row>
    <row r="322" spans="1:15" x14ac:dyDescent="0.35">
      <c r="A322" s="1" t="s">
        <v>367</v>
      </c>
      <c r="B322" s="1" t="s">
        <v>32</v>
      </c>
      <c r="C322" s="2">
        <v>45764</v>
      </c>
      <c r="D322" s="1" t="s">
        <v>62</v>
      </c>
      <c r="E322" s="1" t="s">
        <v>77</v>
      </c>
      <c r="F322">
        <v>4780</v>
      </c>
      <c r="G322">
        <v>691</v>
      </c>
      <c r="H322">
        <v>380</v>
      </c>
      <c r="I322">
        <v>86040</v>
      </c>
      <c r="J322">
        <f>Posts[[#This Row],[Likes]]+Posts[[#This Row],[Shares]]+Posts[[#This Row],[Comments]]</f>
        <v>5851</v>
      </c>
      <c r="K322" s="10">
        <f>Posts[[#This Row],[Engagement]]/Posts[[#This Row],[Impressions]]</f>
        <v>6.800325430032543E-2</v>
      </c>
      <c r="L322">
        <v>85743</v>
      </c>
      <c r="M322">
        <v>262</v>
      </c>
      <c r="N322" s="1" t="s">
        <v>47</v>
      </c>
      <c r="O322" s="1" t="s">
        <v>15</v>
      </c>
    </row>
    <row r="323" spans="1:15" x14ac:dyDescent="0.35">
      <c r="A323" s="1" t="s">
        <v>368</v>
      </c>
      <c r="B323" s="1" t="s">
        <v>30</v>
      </c>
      <c r="C323" s="2">
        <v>45624</v>
      </c>
      <c r="D323" s="1" t="s">
        <v>62</v>
      </c>
      <c r="E323" s="1" t="s">
        <v>63</v>
      </c>
      <c r="F323">
        <v>2751</v>
      </c>
      <c r="G323">
        <v>33</v>
      </c>
      <c r="H323">
        <v>430</v>
      </c>
      <c r="I323">
        <v>44016</v>
      </c>
      <c r="J323">
        <f>Posts[[#This Row],[Likes]]+Posts[[#This Row],[Shares]]+Posts[[#This Row],[Comments]]</f>
        <v>3214</v>
      </c>
      <c r="K323" s="10">
        <f>Posts[[#This Row],[Engagement]]/Posts[[#This Row],[Impressions]]</f>
        <v>7.3018902217375503E-2</v>
      </c>
      <c r="L323">
        <v>43415</v>
      </c>
      <c r="M323">
        <v>129</v>
      </c>
      <c r="N323" s="1" t="s">
        <v>47</v>
      </c>
      <c r="O323" s="1" t="s">
        <v>80</v>
      </c>
    </row>
    <row r="324" spans="1:15" x14ac:dyDescent="0.35">
      <c r="A324" s="1" t="s">
        <v>369</v>
      </c>
      <c r="B324" s="1" t="s">
        <v>29</v>
      </c>
      <c r="C324" s="2">
        <v>45646</v>
      </c>
      <c r="D324" s="1" t="s">
        <v>62</v>
      </c>
      <c r="E324" s="1" t="s">
        <v>91</v>
      </c>
      <c r="F324">
        <v>2107</v>
      </c>
      <c r="G324">
        <v>550</v>
      </c>
      <c r="H324">
        <v>349</v>
      </c>
      <c r="I324">
        <v>35819</v>
      </c>
      <c r="J324">
        <f>Posts[[#This Row],[Likes]]+Posts[[#This Row],[Shares]]+Posts[[#This Row],[Comments]]</f>
        <v>3006</v>
      </c>
      <c r="K324" s="10">
        <f>Posts[[#This Row],[Engagement]]/Posts[[#This Row],[Impressions]]</f>
        <v>8.3921940869371006E-2</v>
      </c>
      <c r="L324">
        <v>35340</v>
      </c>
      <c r="M324">
        <v>191</v>
      </c>
      <c r="N324" s="1" t="s">
        <v>59</v>
      </c>
      <c r="O324" s="1" t="s">
        <v>19</v>
      </c>
    </row>
    <row r="325" spans="1:15" x14ac:dyDescent="0.35">
      <c r="A325" s="1" t="s">
        <v>370</v>
      </c>
      <c r="B325" s="1" t="s">
        <v>30</v>
      </c>
      <c r="C325" s="2">
        <v>45602</v>
      </c>
      <c r="D325" s="1" t="s">
        <v>82</v>
      </c>
      <c r="E325" s="1" t="s">
        <v>83</v>
      </c>
      <c r="F325">
        <v>4663</v>
      </c>
      <c r="G325">
        <v>145</v>
      </c>
      <c r="H325">
        <v>225</v>
      </c>
      <c r="I325">
        <v>69945</v>
      </c>
      <c r="J325">
        <f>Posts[[#This Row],[Likes]]+Posts[[#This Row],[Shares]]+Posts[[#This Row],[Comments]]</f>
        <v>5033</v>
      </c>
      <c r="K325" s="10">
        <f>Posts[[#This Row],[Engagement]]/Posts[[#This Row],[Impressions]]</f>
        <v>7.1956537279290869E-2</v>
      </c>
      <c r="L325">
        <v>69596</v>
      </c>
      <c r="M325">
        <v>35</v>
      </c>
      <c r="N325" s="1" t="s">
        <v>59</v>
      </c>
      <c r="O325" s="1" t="s">
        <v>19</v>
      </c>
    </row>
    <row r="326" spans="1:15" x14ac:dyDescent="0.35">
      <c r="A326" s="1" t="s">
        <v>371</v>
      </c>
      <c r="B326" s="1" t="s">
        <v>30</v>
      </c>
      <c r="C326" s="2">
        <v>45613</v>
      </c>
      <c r="D326" s="1" t="s">
        <v>50</v>
      </c>
      <c r="E326" s="1" t="s">
        <v>70</v>
      </c>
      <c r="F326">
        <v>880</v>
      </c>
      <c r="G326">
        <v>297</v>
      </c>
      <c r="H326">
        <v>345</v>
      </c>
      <c r="I326">
        <v>12320</v>
      </c>
      <c r="J326">
        <f>Posts[[#This Row],[Likes]]+Posts[[#This Row],[Shares]]+Posts[[#This Row],[Comments]]</f>
        <v>1522</v>
      </c>
      <c r="K326" s="10">
        <f>Posts[[#This Row],[Engagement]]/Posts[[#This Row],[Impressions]]</f>
        <v>0.12353896103896105</v>
      </c>
      <c r="L326">
        <v>11978</v>
      </c>
      <c r="M326">
        <v>238</v>
      </c>
      <c r="N326" s="1" t="s">
        <v>52</v>
      </c>
      <c r="O326" s="1" t="s">
        <v>80</v>
      </c>
    </row>
    <row r="327" spans="1:15" x14ac:dyDescent="0.35">
      <c r="A327" s="1" t="s">
        <v>371</v>
      </c>
      <c r="B327" s="1" t="s">
        <v>30</v>
      </c>
      <c r="C327" s="2">
        <v>45613</v>
      </c>
      <c r="D327" s="1" t="s">
        <v>50</v>
      </c>
      <c r="E327" s="1" t="s">
        <v>70</v>
      </c>
      <c r="F327">
        <v>880</v>
      </c>
      <c r="G327">
        <v>297</v>
      </c>
      <c r="H327">
        <v>345</v>
      </c>
      <c r="I327">
        <v>12320</v>
      </c>
      <c r="J327">
        <f>Posts[[#This Row],[Likes]]+Posts[[#This Row],[Shares]]+Posts[[#This Row],[Comments]]</f>
        <v>1522</v>
      </c>
      <c r="K327" s="10">
        <f>Posts[[#This Row],[Engagement]]/Posts[[#This Row],[Impressions]]</f>
        <v>0.12353896103896105</v>
      </c>
      <c r="L327">
        <v>11978</v>
      </c>
      <c r="M327">
        <v>238</v>
      </c>
      <c r="N327" s="1" t="s">
        <v>48</v>
      </c>
      <c r="O327" s="1" t="s">
        <v>80</v>
      </c>
    </row>
    <row r="328" spans="1:15" x14ac:dyDescent="0.35">
      <c r="A328" s="1" t="s">
        <v>372</v>
      </c>
      <c r="B328" s="1" t="s">
        <v>30</v>
      </c>
      <c r="C328" s="2">
        <v>45791</v>
      </c>
      <c r="D328" s="1" t="s">
        <v>50</v>
      </c>
      <c r="E328" s="1" t="s">
        <v>70</v>
      </c>
      <c r="F328">
        <v>2634</v>
      </c>
      <c r="G328">
        <v>726</v>
      </c>
      <c r="H328">
        <v>241</v>
      </c>
      <c r="I328">
        <v>28974</v>
      </c>
      <c r="J328">
        <f>Posts[[#This Row],[Likes]]+Posts[[#This Row],[Shares]]+Posts[[#This Row],[Comments]]</f>
        <v>3601</v>
      </c>
      <c r="K328" s="10">
        <f>Posts[[#This Row],[Engagement]]/Posts[[#This Row],[Impressions]]</f>
        <v>0.12428384068475185</v>
      </c>
      <c r="L328">
        <v>28102</v>
      </c>
      <c r="M328">
        <v>277</v>
      </c>
      <c r="N328" s="1" t="s">
        <v>59</v>
      </c>
      <c r="O328" s="1" t="s">
        <v>7</v>
      </c>
    </row>
    <row r="329" spans="1:15" x14ac:dyDescent="0.35">
      <c r="A329" s="1" t="s">
        <v>373</v>
      </c>
      <c r="B329" s="1" t="s">
        <v>30</v>
      </c>
      <c r="C329" s="2">
        <v>45462</v>
      </c>
      <c r="D329" s="1" t="s">
        <v>62</v>
      </c>
      <c r="E329" s="1" t="s">
        <v>63</v>
      </c>
      <c r="F329">
        <v>4731</v>
      </c>
      <c r="G329">
        <v>173</v>
      </c>
      <c r="H329">
        <v>276</v>
      </c>
      <c r="I329">
        <v>28386</v>
      </c>
      <c r="J329">
        <f>Posts[[#This Row],[Likes]]+Posts[[#This Row],[Shares]]+Posts[[#This Row],[Comments]]</f>
        <v>5180</v>
      </c>
      <c r="K329" s="10">
        <f>Posts[[#This Row],[Engagement]]/Posts[[#This Row],[Impressions]]</f>
        <v>0.18248432325794406</v>
      </c>
      <c r="L329">
        <v>28185</v>
      </c>
      <c r="M329">
        <v>89</v>
      </c>
      <c r="N329" s="1" t="s">
        <v>59</v>
      </c>
      <c r="O329" s="1" t="s">
        <v>15</v>
      </c>
    </row>
    <row r="330" spans="1:15" x14ac:dyDescent="0.35">
      <c r="A330" s="1" t="s">
        <v>374</v>
      </c>
      <c r="B330" s="1" t="s">
        <v>31</v>
      </c>
      <c r="C330" s="2">
        <v>45783</v>
      </c>
      <c r="D330" s="1" t="s">
        <v>67</v>
      </c>
      <c r="E330" s="1" t="s">
        <v>114</v>
      </c>
      <c r="F330">
        <v>1952</v>
      </c>
      <c r="G330">
        <v>344</v>
      </c>
      <c r="H330">
        <v>287</v>
      </c>
      <c r="I330">
        <v>15616</v>
      </c>
      <c r="J330">
        <f>Posts[[#This Row],[Likes]]+Posts[[#This Row],[Shares]]+Posts[[#This Row],[Comments]]</f>
        <v>2583</v>
      </c>
      <c r="K330" s="10">
        <f>Posts[[#This Row],[Engagement]]/Posts[[#This Row],[Impressions]]</f>
        <v>0.16540727459016394</v>
      </c>
      <c r="L330">
        <v>15403</v>
      </c>
      <c r="M330">
        <v>235</v>
      </c>
      <c r="N330" s="1" t="s">
        <v>47</v>
      </c>
      <c r="O330" s="1" t="s">
        <v>11</v>
      </c>
    </row>
    <row r="331" spans="1:15" x14ac:dyDescent="0.35">
      <c r="A331" s="1" t="s">
        <v>374</v>
      </c>
      <c r="B331" s="1" t="s">
        <v>31</v>
      </c>
      <c r="C331" s="2">
        <v>45783</v>
      </c>
      <c r="D331" s="1" t="s">
        <v>67</v>
      </c>
      <c r="E331" s="1" t="s">
        <v>114</v>
      </c>
      <c r="F331">
        <v>1952</v>
      </c>
      <c r="G331">
        <v>344</v>
      </c>
      <c r="H331">
        <v>287</v>
      </c>
      <c r="I331">
        <v>15616</v>
      </c>
      <c r="J331">
        <f>Posts[[#This Row],[Likes]]+Posts[[#This Row],[Shares]]+Posts[[#This Row],[Comments]]</f>
        <v>2583</v>
      </c>
      <c r="K331" s="10">
        <f>Posts[[#This Row],[Engagement]]/Posts[[#This Row],[Impressions]]</f>
        <v>0.16540727459016394</v>
      </c>
      <c r="L331">
        <v>15403</v>
      </c>
      <c r="M331">
        <v>235</v>
      </c>
      <c r="N331" s="1" t="s">
        <v>52</v>
      </c>
      <c r="O331" s="1" t="s">
        <v>11</v>
      </c>
    </row>
    <row r="332" spans="1:15" x14ac:dyDescent="0.35">
      <c r="A332" s="1" t="s">
        <v>374</v>
      </c>
      <c r="B332" s="1" t="s">
        <v>31</v>
      </c>
      <c r="C332" s="2">
        <v>45783</v>
      </c>
      <c r="D332" s="1" t="s">
        <v>67</v>
      </c>
      <c r="E332" s="1" t="s">
        <v>114</v>
      </c>
      <c r="F332">
        <v>1952</v>
      </c>
      <c r="G332">
        <v>344</v>
      </c>
      <c r="H332">
        <v>287</v>
      </c>
      <c r="I332">
        <v>15616</v>
      </c>
      <c r="J332">
        <f>Posts[[#This Row],[Likes]]+Posts[[#This Row],[Shares]]+Posts[[#This Row],[Comments]]</f>
        <v>2583</v>
      </c>
      <c r="K332" s="10">
        <f>Posts[[#This Row],[Engagement]]/Posts[[#This Row],[Impressions]]</f>
        <v>0.16540727459016394</v>
      </c>
      <c r="L332">
        <v>15403</v>
      </c>
      <c r="M332">
        <v>235</v>
      </c>
      <c r="N332" s="1" t="s">
        <v>48</v>
      </c>
      <c r="O332" s="1" t="s">
        <v>11</v>
      </c>
    </row>
    <row r="333" spans="1:15" x14ac:dyDescent="0.35">
      <c r="A333" s="1" t="s">
        <v>375</v>
      </c>
      <c r="B333" s="1" t="s">
        <v>31</v>
      </c>
      <c r="C333" s="2">
        <v>45699</v>
      </c>
      <c r="D333" s="1" t="s">
        <v>82</v>
      </c>
      <c r="E333" s="1" t="s">
        <v>121</v>
      </c>
      <c r="F333">
        <v>3440</v>
      </c>
      <c r="G333">
        <v>13</v>
      </c>
      <c r="H333">
        <v>20</v>
      </c>
      <c r="I333">
        <v>58480</v>
      </c>
      <c r="J333">
        <f>Posts[[#This Row],[Likes]]+Posts[[#This Row],[Shares]]+Posts[[#This Row],[Comments]]</f>
        <v>3473</v>
      </c>
      <c r="K333" s="10">
        <f>Posts[[#This Row],[Engagement]]/Posts[[#This Row],[Impressions]]</f>
        <v>5.9387824897400819E-2</v>
      </c>
      <c r="L333">
        <v>58146</v>
      </c>
      <c r="M333">
        <v>210</v>
      </c>
      <c r="N333" s="1" t="s">
        <v>52</v>
      </c>
      <c r="O333" s="1" t="s">
        <v>19</v>
      </c>
    </row>
    <row r="334" spans="1:15" x14ac:dyDescent="0.35">
      <c r="A334" s="1" t="s">
        <v>375</v>
      </c>
      <c r="B334" s="1" t="s">
        <v>31</v>
      </c>
      <c r="C334" s="2">
        <v>45699</v>
      </c>
      <c r="D334" s="1" t="s">
        <v>82</v>
      </c>
      <c r="E334" s="1" t="s">
        <v>121</v>
      </c>
      <c r="F334">
        <v>3440</v>
      </c>
      <c r="G334">
        <v>13</v>
      </c>
      <c r="H334">
        <v>20</v>
      </c>
      <c r="I334">
        <v>58480</v>
      </c>
      <c r="J334">
        <f>Posts[[#This Row],[Likes]]+Posts[[#This Row],[Shares]]+Posts[[#This Row],[Comments]]</f>
        <v>3473</v>
      </c>
      <c r="K334" s="10">
        <f>Posts[[#This Row],[Engagement]]/Posts[[#This Row],[Impressions]]</f>
        <v>5.9387824897400819E-2</v>
      </c>
      <c r="L334">
        <v>58146</v>
      </c>
      <c r="M334">
        <v>210</v>
      </c>
      <c r="N334" s="1" t="s">
        <v>18</v>
      </c>
      <c r="O334" s="1" t="s">
        <v>19</v>
      </c>
    </row>
    <row r="335" spans="1:15" x14ac:dyDescent="0.35">
      <c r="A335" s="1" t="s">
        <v>376</v>
      </c>
      <c r="B335" s="1" t="s">
        <v>31</v>
      </c>
      <c r="C335" s="2">
        <v>45650</v>
      </c>
      <c r="D335" s="1" t="s">
        <v>50</v>
      </c>
      <c r="E335" s="1" t="s">
        <v>51</v>
      </c>
      <c r="F335">
        <v>2166</v>
      </c>
      <c r="G335">
        <v>354</v>
      </c>
      <c r="H335">
        <v>117</v>
      </c>
      <c r="I335">
        <v>10830</v>
      </c>
      <c r="J335">
        <f>Posts[[#This Row],[Likes]]+Posts[[#This Row],[Shares]]+Posts[[#This Row],[Comments]]</f>
        <v>2637</v>
      </c>
      <c r="K335" s="10">
        <f>Posts[[#This Row],[Engagement]]/Posts[[#This Row],[Impressions]]</f>
        <v>0.24349030470914126</v>
      </c>
      <c r="L335">
        <v>10245</v>
      </c>
      <c r="M335">
        <v>24</v>
      </c>
      <c r="N335" s="1" t="s">
        <v>59</v>
      </c>
      <c r="O335" s="1" t="s">
        <v>19</v>
      </c>
    </row>
    <row r="336" spans="1:15" x14ac:dyDescent="0.35">
      <c r="A336" s="1" t="s">
        <v>377</v>
      </c>
      <c r="B336" s="1" t="s">
        <v>30</v>
      </c>
      <c r="C336" s="2">
        <v>45589</v>
      </c>
      <c r="D336" s="1" t="s">
        <v>67</v>
      </c>
      <c r="E336" s="1" t="s">
        <v>72</v>
      </c>
      <c r="F336">
        <v>4303</v>
      </c>
      <c r="G336">
        <v>451</v>
      </c>
      <c r="H336">
        <v>286</v>
      </c>
      <c r="I336">
        <v>86060</v>
      </c>
      <c r="J336">
        <f>Posts[[#This Row],[Likes]]+Posts[[#This Row],[Shares]]+Posts[[#This Row],[Comments]]</f>
        <v>5040</v>
      </c>
      <c r="K336" s="10">
        <f>Posts[[#This Row],[Engagement]]/Posts[[#This Row],[Impressions]]</f>
        <v>5.8563792702765516E-2</v>
      </c>
      <c r="L336">
        <v>85823</v>
      </c>
      <c r="M336">
        <v>14</v>
      </c>
      <c r="N336" s="1" t="s">
        <v>52</v>
      </c>
      <c r="O336" s="1" t="s">
        <v>15</v>
      </c>
    </row>
    <row r="337" spans="1:15" x14ac:dyDescent="0.35">
      <c r="A337" s="1" t="s">
        <v>378</v>
      </c>
      <c r="B337" s="1" t="s">
        <v>30</v>
      </c>
      <c r="C337" s="2">
        <v>45530</v>
      </c>
      <c r="D337" s="1" t="s">
        <v>67</v>
      </c>
      <c r="E337" s="1" t="s">
        <v>72</v>
      </c>
      <c r="F337">
        <v>2581</v>
      </c>
      <c r="G337">
        <v>517</v>
      </c>
      <c r="H337">
        <v>117</v>
      </c>
      <c r="I337">
        <v>23229</v>
      </c>
      <c r="J337">
        <f>Posts[[#This Row],[Likes]]+Posts[[#This Row],[Shares]]+Posts[[#This Row],[Comments]]</f>
        <v>3215</v>
      </c>
      <c r="K337" s="10">
        <f>Posts[[#This Row],[Engagement]]/Posts[[#This Row],[Impressions]]</f>
        <v>0.13840458048129492</v>
      </c>
      <c r="L337">
        <v>22331</v>
      </c>
      <c r="M337">
        <v>70</v>
      </c>
      <c r="N337" s="1" t="s">
        <v>47</v>
      </c>
      <c r="O337" s="1" t="s">
        <v>15</v>
      </c>
    </row>
    <row r="338" spans="1:15" x14ac:dyDescent="0.35">
      <c r="A338" s="1" t="s">
        <v>379</v>
      </c>
      <c r="B338" s="1" t="s">
        <v>31</v>
      </c>
      <c r="C338" s="2">
        <v>45535</v>
      </c>
      <c r="D338" s="1" t="s">
        <v>62</v>
      </c>
      <c r="E338" s="1" t="s">
        <v>65</v>
      </c>
      <c r="F338">
        <v>4494</v>
      </c>
      <c r="G338">
        <v>717</v>
      </c>
      <c r="H338">
        <v>45</v>
      </c>
      <c r="I338">
        <v>62916</v>
      </c>
      <c r="J338">
        <f>Posts[[#This Row],[Likes]]+Posts[[#This Row],[Shares]]+Posts[[#This Row],[Comments]]</f>
        <v>5256</v>
      </c>
      <c r="K338" s="10">
        <f>Posts[[#This Row],[Engagement]]/Posts[[#This Row],[Impressions]]</f>
        <v>8.3539958039290485E-2</v>
      </c>
      <c r="L338">
        <v>62688</v>
      </c>
      <c r="M338">
        <v>191</v>
      </c>
      <c r="N338" s="1" t="s">
        <v>52</v>
      </c>
      <c r="O338" s="1" t="s">
        <v>7</v>
      </c>
    </row>
    <row r="339" spans="1:15" x14ac:dyDescent="0.35">
      <c r="A339" s="1" t="s">
        <v>379</v>
      </c>
      <c r="B339" s="1" t="s">
        <v>31</v>
      </c>
      <c r="C339" s="2">
        <v>45535</v>
      </c>
      <c r="D339" s="1" t="s">
        <v>62</v>
      </c>
      <c r="E339" s="1" t="s">
        <v>65</v>
      </c>
      <c r="F339">
        <v>4494</v>
      </c>
      <c r="G339">
        <v>717</v>
      </c>
      <c r="H339">
        <v>45</v>
      </c>
      <c r="I339">
        <v>62916</v>
      </c>
      <c r="J339">
        <f>Posts[[#This Row],[Likes]]+Posts[[#This Row],[Shares]]+Posts[[#This Row],[Comments]]</f>
        <v>5256</v>
      </c>
      <c r="K339" s="10">
        <f>Posts[[#This Row],[Engagement]]/Posts[[#This Row],[Impressions]]</f>
        <v>8.3539958039290485E-2</v>
      </c>
      <c r="L339">
        <v>62688</v>
      </c>
      <c r="M339">
        <v>191</v>
      </c>
      <c r="N339" s="1" t="s">
        <v>59</v>
      </c>
      <c r="O339" s="1" t="s">
        <v>7</v>
      </c>
    </row>
    <row r="340" spans="1:15" x14ac:dyDescent="0.35">
      <c r="A340" s="1" t="s">
        <v>379</v>
      </c>
      <c r="B340" s="1" t="s">
        <v>31</v>
      </c>
      <c r="C340" s="2">
        <v>45535</v>
      </c>
      <c r="D340" s="1" t="s">
        <v>62</v>
      </c>
      <c r="E340" s="1" t="s">
        <v>65</v>
      </c>
      <c r="F340">
        <v>4494</v>
      </c>
      <c r="G340">
        <v>717</v>
      </c>
      <c r="H340">
        <v>45</v>
      </c>
      <c r="I340">
        <v>62916</v>
      </c>
      <c r="J340">
        <f>Posts[[#This Row],[Likes]]+Posts[[#This Row],[Shares]]+Posts[[#This Row],[Comments]]</f>
        <v>5256</v>
      </c>
      <c r="K340" s="10">
        <f>Posts[[#This Row],[Engagement]]/Posts[[#This Row],[Impressions]]</f>
        <v>8.3539958039290485E-2</v>
      </c>
      <c r="L340">
        <v>62688</v>
      </c>
      <c r="M340">
        <v>191</v>
      </c>
      <c r="N340" s="1" t="s">
        <v>53</v>
      </c>
      <c r="O340" s="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E784-6A8E-4B5E-9628-261E2200C348}">
  <dimension ref="A1:G5"/>
  <sheetViews>
    <sheetView workbookViewId="0">
      <selection activeCell="A3" sqref="A3"/>
    </sheetView>
  </sheetViews>
  <sheetFormatPr defaultRowHeight="14.5" x14ac:dyDescent="0.35"/>
  <cols>
    <col min="1" max="1" width="17.36328125" bestFit="1" customWidth="1"/>
    <col min="2" max="2" width="12.1796875" bestFit="1" customWidth="1"/>
    <col min="3" max="3" width="11.26953125" bestFit="1" customWidth="1"/>
    <col min="4" max="4" width="19.81640625" bestFit="1" customWidth="1"/>
    <col min="5" max="5" width="14.26953125" bestFit="1" customWidth="1"/>
    <col min="6" max="6" width="17.7265625" bestFit="1" customWidth="1"/>
    <col min="7" max="7" width="30.36328125" bestFit="1" customWidth="1"/>
  </cols>
  <sheetData>
    <row r="1" spans="1:7" x14ac:dyDescent="0.35">
      <c r="A1" t="s">
        <v>0</v>
      </c>
      <c r="B1" t="s">
        <v>1</v>
      </c>
      <c r="C1" t="s">
        <v>2</v>
      </c>
      <c r="D1" t="s">
        <v>3</v>
      </c>
      <c r="E1" t="s">
        <v>4</v>
      </c>
      <c r="F1" t="s">
        <v>5</v>
      </c>
      <c r="G1" t="s">
        <v>6</v>
      </c>
    </row>
    <row r="2" spans="1:7" x14ac:dyDescent="0.35">
      <c r="A2" s="1" t="s">
        <v>7</v>
      </c>
      <c r="B2" s="2">
        <v>45458</v>
      </c>
      <c r="C2" s="2">
        <v>45488</v>
      </c>
      <c r="D2" s="1" t="s">
        <v>8</v>
      </c>
      <c r="E2">
        <v>150000</v>
      </c>
      <c r="F2" s="1" t="s">
        <v>9</v>
      </c>
      <c r="G2" s="1" t="s">
        <v>10</v>
      </c>
    </row>
    <row r="3" spans="1:7" x14ac:dyDescent="0.35">
      <c r="A3" s="1" t="s">
        <v>11</v>
      </c>
      <c r="B3" s="2">
        <v>45566</v>
      </c>
      <c r="C3" s="2">
        <v>45596</v>
      </c>
      <c r="D3" s="1" t="s">
        <v>12</v>
      </c>
      <c r="E3">
        <v>200000</v>
      </c>
      <c r="F3" s="1" t="s">
        <v>13</v>
      </c>
      <c r="G3" s="1" t="s">
        <v>14</v>
      </c>
    </row>
    <row r="4" spans="1:7" x14ac:dyDescent="0.35">
      <c r="A4" s="1" t="s">
        <v>15</v>
      </c>
      <c r="B4" s="2">
        <v>45651</v>
      </c>
      <c r="C4" s="2">
        <v>45667</v>
      </c>
      <c r="D4" s="1" t="s">
        <v>16</v>
      </c>
      <c r="E4">
        <v>250000</v>
      </c>
      <c r="F4" s="1" t="s">
        <v>17</v>
      </c>
      <c r="G4" s="1" t="s">
        <v>18</v>
      </c>
    </row>
    <row r="5" spans="1:7" x14ac:dyDescent="0.35">
      <c r="A5" s="1" t="s">
        <v>19</v>
      </c>
      <c r="B5" s="2">
        <v>45717</v>
      </c>
      <c r="C5" s="2">
        <v>45747</v>
      </c>
      <c r="D5" s="1" t="s">
        <v>20</v>
      </c>
      <c r="E5">
        <v>180000</v>
      </c>
      <c r="F5" s="1" t="s">
        <v>21</v>
      </c>
      <c r="G5" s="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1543-FD4D-489C-A57E-BE9E89E5C83D}">
  <dimension ref="A1:K201"/>
  <sheetViews>
    <sheetView workbookViewId="0">
      <selection activeCell="K2" sqref="K2:K201"/>
    </sheetView>
  </sheetViews>
  <sheetFormatPr defaultRowHeight="14.5" x14ac:dyDescent="0.35"/>
  <cols>
    <col min="1" max="1" width="18.08984375" bestFit="1" customWidth="1"/>
    <col min="2" max="2" width="18.08984375" style="12" customWidth="1"/>
    <col min="3" max="3" width="10.453125" bestFit="1" customWidth="1"/>
    <col min="4" max="4" width="15.90625" bestFit="1" customWidth="1"/>
    <col min="5" max="5" width="11.453125" bestFit="1" customWidth="1"/>
    <col min="6" max="6" width="11.453125" customWidth="1"/>
    <col min="8" max="8" width="16.453125" bestFit="1" customWidth="1"/>
    <col min="9" max="9" width="11.453125" customWidth="1"/>
    <col min="10" max="10" width="18.36328125" bestFit="1" customWidth="1"/>
    <col min="11" max="11" width="11.54296875" bestFit="1" customWidth="1"/>
  </cols>
  <sheetData>
    <row r="1" spans="1:11" x14ac:dyDescent="0.35">
      <c r="A1" t="s">
        <v>23</v>
      </c>
      <c r="B1" s="12" t="s">
        <v>384</v>
      </c>
      <c r="C1" t="s">
        <v>24</v>
      </c>
      <c r="D1" t="s">
        <v>25</v>
      </c>
      <c r="E1" t="s">
        <v>26</v>
      </c>
      <c r="F1" t="s">
        <v>386</v>
      </c>
      <c r="G1" t="s">
        <v>27</v>
      </c>
      <c r="H1" t="s">
        <v>387</v>
      </c>
      <c r="I1" t="s">
        <v>385</v>
      </c>
      <c r="J1" t="s">
        <v>28</v>
      </c>
      <c r="K1" t="s">
        <v>429</v>
      </c>
    </row>
    <row r="2" spans="1:11" x14ac:dyDescent="0.35">
      <c r="A2" s="2">
        <v>45446</v>
      </c>
      <c r="B2" s="12">
        <f t="shared" ref="B2:B33" si="0">MATCH(A2,_xlfn.UNIQUE($A$2:$A$200),0)</f>
        <v>1</v>
      </c>
      <c r="C2" s="1" t="s">
        <v>29</v>
      </c>
      <c r="D2">
        <v>1135</v>
      </c>
      <c r="E2">
        <v>88</v>
      </c>
      <c r="F2">
        <f>Engagement_Summary[[#This Row],[New_Followers]]-Engagement_Summary[[#This Row],[Unfollows]]</f>
        <v>1047</v>
      </c>
      <c r="G2">
        <v>344084</v>
      </c>
      <c r="H2" s="10">
        <f>Engagement_Summary[[#This Row],[Growth]]/Engagement_Summary[[#This Row],[Total_Followers]]</f>
        <v>3.0428616268120576E-3</v>
      </c>
      <c r="I2">
        <v>8.06</v>
      </c>
      <c r="J2">
        <v>5904</v>
      </c>
      <c r="K2" t="str">
        <f>IF(AND(A2&gt;=Campaign!$B$2,A2&lt;=Campaign!$C$2),"CybertruckLaunch",IF(AND(A2&gt;=Campaign!$B$3,A2&lt;=Campaign!$C$3),"ModelYcampaign",IF(AND(A2&gt;=Campaign!$B$4,A2&lt;=Campaign!$C$4),"FSDUpdate",IF(AND(A2&gt;=Campaign!$B$5,A2&lt;=Campaign!$C$5),"SustainabilityDrive","No Campaign"))))</f>
        <v>No Campaign</v>
      </c>
    </row>
    <row r="3" spans="1:11" x14ac:dyDescent="0.35">
      <c r="A3" s="2">
        <v>45446</v>
      </c>
      <c r="B3" s="12">
        <f t="shared" si="0"/>
        <v>1</v>
      </c>
      <c r="C3" s="1" t="s">
        <v>30</v>
      </c>
      <c r="D3">
        <v>1312</v>
      </c>
      <c r="E3">
        <v>310</v>
      </c>
      <c r="F3">
        <f>Engagement_Summary[[#This Row],[New_Followers]]-Engagement_Summary[[#This Row],[Unfollows]]</f>
        <v>1002</v>
      </c>
      <c r="G3">
        <v>42654</v>
      </c>
      <c r="H3" s="10">
        <f>Engagement_Summary[[#This Row],[Growth]]/Engagement_Summary[[#This Row],[Total_Followers]]</f>
        <v>2.3491348994232664E-2</v>
      </c>
      <c r="I3">
        <v>4.9800000000000004</v>
      </c>
      <c r="J3">
        <v>9566</v>
      </c>
      <c r="K3" t="str">
        <f>IF(AND(A3&gt;=Campaign!$B$2,A3&lt;=Campaign!$C$2),"CybertruckLaunch",IF(AND(A3&gt;=Campaign!$B$3,A3&lt;=Campaign!$C$3),"ModelYcampaign",IF(AND(A3&gt;=Campaign!$B$4,A3&lt;=Campaign!$C$4),"FSDUpdate",IF(AND(A3&gt;=Campaign!$B$5,A3&lt;=Campaign!$C$5),"SustainabilityDrive","No Campaign"))))</f>
        <v>No Campaign</v>
      </c>
    </row>
    <row r="4" spans="1:11" x14ac:dyDescent="0.35">
      <c r="A4" s="2">
        <v>45446</v>
      </c>
      <c r="B4" s="12">
        <f t="shared" si="0"/>
        <v>1</v>
      </c>
      <c r="C4" s="1" t="s">
        <v>31</v>
      </c>
      <c r="D4">
        <v>584</v>
      </c>
      <c r="E4">
        <v>169</v>
      </c>
      <c r="F4">
        <f>Engagement_Summary[[#This Row],[New_Followers]]-Engagement_Summary[[#This Row],[Unfollows]]</f>
        <v>415</v>
      </c>
      <c r="G4">
        <v>146834</v>
      </c>
      <c r="H4" s="10">
        <f>Engagement_Summary[[#This Row],[Growth]]/Engagement_Summary[[#This Row],[Total_Followers]]</f>
        <v>2.826320879360366E-3</v>
      </c>
      <c r="I4">
        <v>8.31</v>
      </c>
      <c r="J4">
        <v>26752</v>
      </c>
      <c r="K4" t="str">
        <f>IF(AND(A4&gt;=Campaign!$B$2,A4&lt;=Campaign!$C$2),"CybertruckLaunch",IF(AND(A4&gt;=Campaign!$B$3,A4&lt;=Campaign!$C$3),"ModelYcampaign",IF(AND(A4&gt;=Campaign!$B$4,A4&lt;=Campaign!$C$4),"FSDUpdate",IF(AND(A4&gt;=Campaign!$B$5,A4&lt;=Campaign!$C$5),"SustainabilityDrive","No Campaign"))))</f>
        <v>No Campaign</v>
      </c>
    </row>
    <row r="5" spans="1:11" x14ac:dyDescent="0.35">
      <c r="A5" s="2">
        <v>45446</v>
      </c>
      <c r="B5" s="12">
        <f t="shared" si="0"/>
        <v>1</v>
      </c>
      <c r="C5" s="1" t="s">
        <v>32</v>
      </c>
      <c r="D5">
        <v>1535</v>
      </c>
      <c r="E5">
        <v>445</v>
      </c>
      <c r="F5">
        <f>Engagement_Summary[[#This Row],[New_Followers]]-Engagement_Summary[[#This Row],[Unfollows]]</f>
        <v>1090</v>
      </c>
      <c r="G5">
        <v>395536</v>
      </c>
      <c r="H5" s="10">
        <f>Engagement_Summary[[#This Row],[Growth]]/Engagement_Summary[[#This Row],[Total_Followers]]</f>
        <v>2.7557542170624167E-3</v>
      </c>
      <c r="I5">
        <v>4.1100000000000003</v>
      </c>
      <c r="J5">
        <v>30671</v>
      </c>
      <c r="K5" t="str">
        <f>IF(AND(A5&gt;=Campaign!$B$2,A5&lt;=Campaign!$C$2),"CybertruckLaunch",IF(AND(A5&gt;=Campaign!$B$3,A5&lt;=Campaign!$C$3),"ModelYcampaign",IF(AND(A5&gt;=Campaign!$B$4,A5&lt;=Campaign!$C$4),"FSDUpdate",IF(AND(A5&gt;=Campaign!$B$5,A5&lt;=Campaign!$C$5),"SustainabilityDrive","No Campaign"))))</f>
        <v>No Campaign</v>
      </c>
    </row>
    <row r="6" spans="1:11" x14ac:dyDescent="0.35">
      <c r="A6" s="2">
        <v>45453</v>
      </c>
      <c r="B6" s="12">
        <f t="shared" si="0"/>
        <v>2</v>
      </c>
      <c r="C6" s="1" t="s">
        <v>29</v>
      </c>
      <c r="D6">
        <v>656</v>
      </c>
      <c r="E6">
        <v>139</v>
      </c>
      <c r="F6">
        <f>Engagement_Summary[[#This Row],[New_Followers]]-Engagement_Summary[[#This Row],[Unfollows]]</f>
        <v>517</v>
      </c>
      <c r="G6">
        <v>49157</v>
      </c>
      <c r="H6" s="10">
        <f>Engagement_Summary[[#This Row],[Growth]]/Engagement_Summary[[#This Row],[Total_Followers]]</f>
        <v>1.0517322049758936E-2</v>
      </c>
      <c r="I6">
        <v>9.0500000000000007</v>
      </c>
      <c r="J6">
        <v>9920</v>
      </c>
      <c r="K6" t="str">
        <f>IF(AND(A6&gt;=Campaign!$B$2,A6&lt;=Campaign!$C$2),"CybertruckLaunch",IF(AND(A6&gt;=Campaign!$B$3,A6&lt;=Campaign!$C$3),"ModelYcampaign",IF(AND(A6&gt;=Campaign!$B$4,A6&lt;=Campaign!$C$4),"FSDUpdate",IF(AND(A6&gt;=Campaign!$B$5,A6&lt;=Campaign!$C$5),"SustainabilityDrive","No Campaign"))))</f>
        <v>No Campaign</v>
      </c>
    </row>
    <row r="7" spans="1:11" x14ac:dyDescent="0.35">
      <c r="A7" s="2">
        <v>45453</v>
      </c>
      <c r="B7" s="12">
        <f t="shared" si="0"/>
        <v>2</v>
      </c>
      <c r="C7" s="1" t="s">
        <v>30</v>
      </c>
      <c r="D7">
        <v>1697</v>
      </c>
      <c r="E7">
        <v>414</v>
      </c>
      <c r="F7">
        <f>Engagement_Summary[[#This Row],[New_Followers]]-Engagement_Summary[[#This Row],[Unfollows]]</f>
        <v>1283</v>
      </c>
      <c r="G7">
        <v>316555</v>
      </c>
      <c r="H7" s="10">
        <f>Engagement_Summary[[#This Row],[Growth]]/Engagement_Summary[[#This Row],[Total_Followers]]</f>
        <v>4.0530081660374974E-3</v>
      </c>
      <c r="I7">
        <v>2.37</v>
      </c>
      <c r="J7">
        <v>7924</v>
      </c>
      <c r="K7" t="str">
        <f>IF(AND(A7&gt;=Campaign!$B$2,A7&lt;=Campaign!$C$2),"CybertruckLaunch",IF(AND(A7&gt;=Campaign!$B$3,A7&lt;=Campaign!$C$3),"ModelYcampaign",IF(AND(A7&gt;=Campaign!$B$4,A7&lt;=Campaign!$C$4),"FSDUpdate",IF(AND(A7&gt;=Campaign!$B$5,A7&lt;=Campaign!$C$5),"SustainabilityDrive","No Campaign"))))</f>
        <v>No Campaign</v>
      </c>
    </row>
    <row r="8" spans="1:11" x14ac:dyDescent="0.35">
      <c r="A8" s="2">
        <v>45453</v>
      </c>
      <c r="B8" s="12">
        <f t="shared" si="0"/>
        <v>2</v>
      </c>
      <c r="C8" s="1" t="s">
        <v>31</v>
      </c>
      <c r="D8">
        <v>436</v>
      </c>
      <c r="E8">
        <v>250</v>
      </c>
      <c r="F8">
        <f>Engagement_Summary[[#This Row],[New_Followers]]-Engagement_Summary[[#This Row],[Unfollows]]</f>
        <v>186</v>
      </c>
      <c r="G8">
        <v>254347</v>
      </c>
      <c r="H8" s="10">
        <f>Engagement_Summary[[#This Row],[Growth]]/Engagement_Summary[[#This Row],[Total_Followers]]</f>
        <v>7.3128442639386348E-4</v>
      </c>
      <c r="I8">
        <v>4.01</v>
      </c>
      <c r="J8">
        <v>8912</v>
      </c>
      <c r="K8" t="str">
        <f>IF(AND(A8&gt;=Campaign!$B$2,A8&lt;=Campaign!$C$2),"CybertruckLaunch",IF(AND(A8&gt;=Campaign!$B$3,A8&lt;=Campaign!$C$3),"ModelYcampaign",IF(AND(A8&gt;=Campaign!$B$4,A8&lt;=Campaign!$C$4),"FSDUpdate",IF(AND(A8&gt;=Campaign!$B$5,A8&lt;=Campaign!$C$5),"SustainabilityDrive","No Campaign"))))</f>
        <v>No Campaign</v>
      </c>
    </row>
    <row r="9" spans="1:11" x14ac:dyDescent="0.35">
      <c r="A9" s="2">
        <v>45453</v>
      </c>
      <c r="B9" s="12">
        <f t="shared" si="0"/>
        <v>2</v>
      </c>
      <c r="C9" s="1" t="s">
        <v>32</v>
      </c>
      <c r="D9">
        <v>1197</v>
      </c>
      <c r="E9">
        <v>203</v>
      </c>
      <c r="F9">
        <f>Engagement_Summary[[#This Row],[New_Followers]]-Engagement_Summary[[#This Row],[Unfollows]]</f>
        <v>994</v>
      </c>
      <c r="G9">
        <v>413878</v>
      </c>
      <c r="H9" s="10">
        <f>Engagement_Summary[[#This Row],[Growth]]/Engagement_Summary[[#This Row],[Total_Followers]]</f>
        <v>2.4016739232334168E-3</v>
      </c>
      <c r="I9">
        <v>3.16</v>
      </c>
      <c r="J9">
        <v>21205</v>
      </c>
      <c r="K9" t="str">
        <f>IF(AND(A9&gt;=Campaign!$B$2,A9&lt;=Campaign!$C$2),"CybertruckLaunch",IF(AND(A9&gt;=Campaign!$B$3,A9&lt;=Campaign!$C$3),"ModelYcampaign",IF(AND(A9&gt;=Campaign!$B$4,A9&lt;=Campaign!$C$4),"FSDUpdate",IF(AND(A9&gt;=Campaign!$B$5,A9&lt;=Campaign!$C$5),"SustainabilityDrive","No Campaign"))))</f>
        <v>No Campaign</v>
      </c>
    </row>
    <row r="10" spans="1:11" x14ac:dyDescent="0.35">
      <c r="A10" s="2">
        <v>45460</v>
      </c>
      <c r="B10" s="12">
        <f t="shared" si="0"/>
        <v>3</v>
      </c>
      <c r="C10" s="1" t="s">
        <v>29</v>
      </c>
      <c r="D10">
        <v>1048</v>
      </c>
      <c r="E10">
        <v>155</v>
      </c>
      <c r="F10">
        <f>Engagement_Summary[[#This Row],[New_Followers]]-Engagement_Summary[[#This Row],[Unfollows]]</f>
        <v>893</v>
      </c>
      <c r="G10">
        <v>456946</v>
      </c>
      <c r="H10" s="10">
        <f>Engagement_Summary[[#This Row],[Growth]]/Engagement_Summary[[#This Row],[Total_Followers]]</f>
        <v>1.9542790614208243E-3</v>
      </c>
      <c r="I10">
        <v>2.46</v>
      </c>
      <c r="J10">
        <v>11329</v>
      </c>
      <c r="K10" t="str">
        <f>IF(AND(A10&gt;=Campaign!$B$2,A10&lt;=Campaign!$C$2),"CybertruckLaunch",IF(AND(A10&gt;=Campaign!$B$3,A10&lt;=Campaign!$C$3),"ModelYcampaign",IF(AND(A10&gt;=Campaign!$B$4,A10&lt;=Campaign!$C$4),"FSDUpdate",IF(AND(A10&gt;=Campaign!$B$5,A10&lt;=Campaign!$C$5),"SustainabilityDrive","No Campaign"))))</f>
        <v>CybertruckLaunch</v>
      </c>
    </row>
    <row r="11" spans="1:11" x14ac:dyDescent="0.35">
      <c r="A11" s="2">
        <v>45460</v>
      </c>
      <c r="B11" s="12">
        <f t="shared" si="0"/>
        <v>3</v>
      </c>
      <c r="C11" s="1" t="s">
        <v>30</v>
      </c>
      <c r="D11">
        <v>1753</v>
      </c>
      <c r="E11">
        <v>371</v>
      </c>
      <c r="F11">
        <f>Engagement_Summary[[#This Row],[New_Followers]]-Engagement_Summary[[#This Row],[Unfollows]]</f>
        <v>1382</v>
      </c>
      <c r="G11">
        <v>169496</v>
      </c>
      <c r="H11" s="10">
        <f>Engagement_Summary[[#This Row],[Growth]]/Engagement_Summary[[#This Row],[Total_Followers]]</f>
        <v>8.1535847453627231E-3</v>
      </c>
      <c r="I11">
        <v>8.11</v>
      </c>
      <c r="J11">
        <v>46670</v>
      </c>
      <c r="K11" t="str">
        <f>IF(AND(A11&gt;=Campaign!$B$2,A11&lt;=Campaign!$C$2),"CybertruckLaunch",IF(AND(A11&gt;=Campaign!$B$3,A11&lt;=Campaign!$C$3),"ModelYcampaign",IF(AND(A11&gt;=Campaign!$B$4,A11&lt;=Campaign!$C$4),"FSDUpdate",IF(AND(A11&gt;=Campaign!$B$5,A11&lt;=Campaign!$C$5),"SustainabilityDrive","No Campaign"))))</f>
        <v>CybertruckLaunch</v>
      </c>
    </row>
    <row r="12" spans="1:11" x14ac:dyDescent="0.35">
      <c r="A12" s="2">
        <v>45460</v>
      </c>
      <c r="B12" s="12">
        <f t="shared" si="0"/>
        <v>3</v>
      </c>
      <c r="C12" s="1" t="s">
        <v>31</v>
      </c>
      <c r="D12">
        <v>1335</v>
      </c>
      <c r="E12">
        <v>40</v>
      </c>
      <c r="F12">
        <f>Engagement_Summary[[#This Row],[New_Followers]]-Engagement_Summary[[#This Row],[Unfollows]]</f>
        <v>1295</v>
      </c>
      <c r="G12">
        <v>122732</v>
      </c>
      <c r="H12" s="10">
        <f>Engagement_Summary[[#This Row],[Growth]]/Engagement_Summary[[#This Row],[Total_Followers]]</f>
        <v>1.0551445425805821E-2</v>
      </c>
      <c r="I12">
        <v>8.19</v>
      </c>
      <c r="J12">
        <v>22482</v>
      </c>
      <c r="K12" t="str">
        <f>IF(AND(A12&gt;=Campaign!$B$2,A12&lt;=Campaign!$C$2),"CybertruckLaunch",IF(AND(A12&gt;=Campaign!$B$3,A12&lt;=Campaign!$C$3),"ModelYcampaign",IF(AND(A12&gt;=Campaign!$B$4,A12&lt;=Campaign!$C$4),"FSDUpdate",IF(AND(A12&gt;=Campaign!$B$5,A12&lt;=Campaign!$C$5),"SustainabilityDrive","No Campaign"))))</f>
        <v>CybertruckLaunch</v>
      </c>
    </row>
    <row r="13" spans="1:11" x14ac:dyDescent="0.35">
      <c r="A13" s="2">
        <v>45460</v>
      </c>
      <c r="B13" s="12">
        <f t="shared" si="0"/>
        <v>3</v>
      </c>
      <c r="C13" s="1" t="s">
        <v>32</v>
      </c>
      <c r="D13">
        <v>403</v>
      </c>
      <c r="E13">
        <v>66</v>
      </c>
      <c r="F13">
        <f>Engagement_Summary[[#This Row],[New_Followers]]-Engagement_Summary[[#This Row],[Unfollows]]</f>
        <v>337</v>
      </c>
      <c r="G13">
        <v>382851</v>
      </c>
      <c r="H13" s="10">
        <f>Engagement_Summary[[#This Row],[Growth]]/Engagement_Summary[[#This Row],[Total_Followers]]</f>
        <v>8.80238003818718E-4</v>
      </c>
      <c r="I13">
        <v>3.49</v>
      </c>
      <c r="J13">
        <v>24313</v>
      </c>
      <c r="K13" t="str">
        <f>IF(AND(A13&gt;=Campaign!$B$2,A13&lt;=Campaign!$C$2),"CybertruckLaunch",IF(AND(A13&gt;=Campaign!$B$3,A13&lt;=Campaign!$C$3),"ModelYcampaign",IF(AND(A13&gt;=Campaign!$B$4,A13&lt;=Campaign!$C$4),"FSDUpdate",IF(AND(A13&gt;=Campaign!$B$5,A13&lt;=Campaign!$C$5),"SustainabilityDrive","No Campaign"))))</f>
        <v>CybertruckLaunch</v>
      </c>
    </row>
    <row r="14" spans="1:11" x14ac:dyDescent="0.35">
      <c r="A14" s="2">
        <v>45467</v>
      </c>
      <c r="B14" s="12">
        <f t="shared" si="0"/>
        <v>4</v>
      </c>
      <c r="C14" s="1" t="s">
        <v>29</v>
      </c>
      <c r="D14">
        <v>911</v>
      </c>
      <c r="E14">
        <v>282</v>
      </c>
      <c r="F14">
        <f>Engagement_Summary[[#This Row],[New_Followers]]-Engagement_Summary[[#This Row],[Unfollows]]</f>
        <v>629</v>
      </c>
      <c r="G14">
        <v>35664</v>
      </c>
      <c r="H14" s="10">
        <f>Engagement_Summary[[#This Row],[Growth]]/Engagement_Summary[[#This Row],[Total_Followers]]</f>
        <v>1.7636832660385824E-2</v>
      </c>
      <c r="I14">
        <v>6.92</v>
      </c>
      <c r="J14">
        <v>18050</v>
      </c>
      <c r="K14" t="str">
        <f>IF(AND(A14&gt;=Campaign!$B$2,A14&lt;=Campaign!$C$2),"CybertruckLaunch",IF(AND(A14&gt;=Campaign!$B$3,A14&lt;=Campaign!$C$3),"ModelYcampaign",IF(AND(A14&gt;=Campaign!$B$4,A14&lt;=Campaign!$C$4),"FSDUpdate",IF(AND(A14&gt;=Campaign!$B$5,A14&lt;=Campaign!$C$5),"SustainabilityDrive","No Campaign"))))</f>
        <v>CybertruckLaunch</v>
      </c>
    </row>
    <row r="15" spans="1:11" x14ac:dyDescent="0.35">
      <c r="A15" s="2">
        <v>45467</v>
      </c>
      <c r="B15" s="12">
        <f t="shared" si="0"/>
        <v>4</v>
      </c>
      <c r="C15" s="1" t="s">
        <v>30</v>
      </c>
      <c r="D15">
        <v>1779</v>
      </c>
      <c r="E15">
        <v>109</v>
      </c>
      <c r="F15">
        <f>Engagement_Summary[[#This Row],[New_Followers]]-Engagement_Summary[[#This Row],[Unfollows]]</f>
        <v>1670</v>
      </c>
      <c r="G15">
        <v>26295</v>
      </c>
      <c r="H15" s="10">
        <f>Engagement_Summary[[#This Row],[Growth]]/Engagement_Summary[[#This Row],[Total_Followers]]</f>
        <v>6.3510173036698994E-2</v>
      </c>
      <c r="I15">
        <v>9.1199999999999992</v>
      </c>
      <c r="J15">
        <v>30635</v>
      </c>
      <c r="K15" t="str">
        <f>IF(AND(A15&gt;=Campaign!$B$2,A15&lt;=Campaign!$C$2),"CybertruckLaunch",IF(AND(A15&gt;=Campaign!$B$3,A15&lt;=Campaign!$C$3),"ModelYcampaign",IF(AND(A15&gt;=Campaign!$B$4,A15&lt;=Campaign!$C$4),"FSDUpdate",IF(AND(A15&gt;=Campaign!$B$5,A15&lt;=Campaign!$C$5),"SustainabilityDrive","No Campaign"))))</f>
        <v>CybertruckLaunch</v>
      </c>
    </row>
    <row r="16" spans="1:11" x14ac:dyDescent="0.35">
      <c r="A16" s="2">
        <v>45467</v>
      </c>
      <c r="B16" s="12">
        <f t="shared" si="0"/>
        <v>4</v>
      </c>
      <c r="C16" s="1" t="s">
        <v>31</v>
      </c>
      <c r="D16">
        <v>1238</v>
      </c>
      <c r="E16">
        <v>403</v>
      </c>
      <c r="F16">
        <f>Engagement_Summary[[#This Row],[New_Followers]]-Engagement_Summary[[#This Row],[Unfollows]]</f>
        <v>835</v>
      </c>
      <c r="G16">
        <v>298421</v>
      </c>
      <c r="H16" s="10">
        <f>Engagement_Summary[[#This Row],[Growth]]/Engagement_Summary[[#This Row],[Total_Followers]]</f>
        <v>2.798060458211721E-3</v>
      </c>
      <c r="I16">
        <v>3.5</v>
      </c>
      <c r="J16">
        <v>31280</v>
      </c>
      <c r="K16" t="str">
        <f>IF(AND(A16&gt;=Campaign!$B$2,A16&lt;=Campaign!$C$2),"CybertruckLaunch",IF(AND(A16&gt;=Campaign!$B$3,A16&lt;=Campaign!$C$3),"ModelYcampaign",IF(AND(A16&gt;=Campaign!$B$4,A16&lt;=Campaign!$C$4),"FSDUpdate",IF(AND(A16&gt;=Campaign!$B$5,A16&lt;=Campaign!$C$5),"SustainabilityDrive","No Campaign"))))</f>
        <v>CybertruckLaunch</v>
      </c>
    </row>
    <row r="17" spans="1:11" x14ac:dyDescent="0.35">
      <c r="A17" s="2">
        <v>45467</v>
      </c>
      <c r="B17" s="12">
        <f t="shared" si="0"/>
        <v>4</v>
      </c>
      <c r="C17" s="1" t="s">
        <v>32</v>
      </c>
      <c r="D17">
        <v>308</v>
      </c>
      <c r="E17">
        <v>431</v>
      </c>
      <c r="F17">
        <f>Engagement_Summary[[#This Row],[New_Followers]]-Engagement_Summary[[#This Row],[Unfollows]]</f>
        <v>-123</v>
      </c>
      <c r="G17">
        <v>426184</v>
      </c>
      <c r="H17" s="10">
        <f>Engagement_Summary[[#This Row],[Growth]]/Engagement_Summary[[#This Row],[Total_Followers]]</f>
        <v>-2.8860773750305035E-4</v>
      </c>
      <c r="I17">
        <v>2.62</v>
      </c>
      <c r="J17">
        <v>1783</v>
      </c>
      <c r="K17" t="str">
        <f>IF(AND(A17&gt;=Campaign!$B$2,A17&lt;=Campaign!$C$2),"CybertruckLaunch",IF(AND(A17&gt;=Campaign!$B$3,A17&lt;=Campaign!$C$3),"ModelYcampaign",IF(AND(A17&gt;=Campaign!$B$4,A17&lt;=Campaign!$C$4),"FSDUpdate",IF(AND(A17&gt;=Campaign!$B$5,A17&lt;=Campaign!$C$5),"SustainabilityDrive","No Campaign"))))</f>
        <v>CybertruckLaunch</v>
      </c>
    </row>
    <row r="18" spans="1:11" x14ac:dyDescent="0.35">
      <c r="A18" s="2">
        <v>45474</v>
      </c>
      <c r="B18" s="12">
        <f t="shared" si="0"/>
        <v>5</v>
      </c>
      <c r="C18" s="1" t="s">
        <v>29</v>
      </c>
      <c r="D18">
        <v>226</v>
      </c>
      <c r="E18">
        <v>445</v>
      </c>
      <c r="F18">
        <f>Engagement_Summary[[#This Row],[New_Followers]]-Engagement_Summary[[#This Row],[Unfollows]]</f>
        <v>-219</v>
      </c>
      <c r="G18">
        <v>419447</v>
      </c>
      <c r="H18" s="10">
        <f>Engagement_Summary[[#This Row],[Growth]]/Engagement_Summary[[#This Row],[Total_Followers]]</f>
        <v>-5.2211602419375983E-4</v>
      </c>
      <c r="I18">
        <v>9.36</v>
      </c>
      <c r="J18">
        <v>9566</v>
      </c>
      <c r="K18" t="str">
        <f>IF(AND(A18&gt;=Campaign!$B$2,A18&lt;=Campaign!$C$2),"CybertruckLaunch",IF(AND(A18&gt;=Campaign!$B$3,A18&lt;=Campaign!$C$3),"ModelYcampaign",IF(AND(A18&gt;=Campaign!$B$4,A18&lt;=Campaign!$C$4),"FSDUpdate",IF(AND(A18&gt;=Campaign!$B$5,A18&lt;=Campaign!$C$5),"SustainabilityDrive","No Campaign"))))</f>
        <v>CybertruckLaunch</v>
      </c>
    </row>
    <row r="19" spans="1:11" x14ac:dyDescent="0.35">
      <c r="A19" s="2">
        <v>45474</v>
      </c>
      <c r="B19" s="12">
        <f t="shared" si="0"/>
        <v>5</v>
      </c>
      <c r="C19" s="1" t="s">
        <v>30</v>
      </c>
      <c r="D19">
        <v>505</v>
      </c>
      <c r="E19">
        <v>441</v>
      </c>
      <c r="F19">
        <f>Engagement_Summary[[#This Row],[New_Followers]]-Engagement_Summary[[#This Row],[Unfollows]]</f>
        <v>64</v>
      </c>
      <c r="G19">
        <v>220020</v>
      </c>
      <c r="H19" s="10">
        <f>Engagement_Summary[[#This Row],[Growth]]/Engagement_Summary[[#This Row],[Total_Followers]]</f>
        <v>2.9088264703208797E-4</v>
      </c>
      <c r="I19">
        <v>4.4800000000000004</v>
      </c>
      <c r="J19">
        <v>42307</v>
      </c>
      <c r="K19" t="str">
        <f>IF(AND(A19&gt;=Campaign!$B$2,A19&lt;=Campaign!$C$2),"CybertruckLaunch",IF(AND(A19&gt;=Campaign!$B$3,A19&lt;=Campaign!$C$3),"ModelYcampaign",IF(AND(A19&gt;=Campaign!$B$4,A19&lt;=Campaign!$C$4),"FSDUpdate",IF(AND(A19&gt;=Campaign!$B$5,A19&lt;=Campaign!$C$5),"SustainabilityDrive","No Campaign"))))</f>
        <v>CybertruckLaunch</v>
      </c>
    </row>
    <row r="20" spans="1:11" x14ac:dyDescent="0.35">
      <c r="A20" s="2">
        <v>45474</v>
      </c>
      <c r="B20" s="12">
        <f t="shared" si="0"/>
        <v>5</v>
      </c>
      <c r="C20" s="1" t="s">
        <v>31</v>
      </c>
      <c r="D20">
        <v>1420</v>
      </c>
      <c r="E20">
        <v>63</v>
      </c>
      <c r="F20">
        <f>Engagement_Summary[[#This Row],[New_Followers]]-Engagement_Summary[[#This Row],[Unfollows]]</f>
        <v>1357</v>
      </c>
      <c r="G20">
        <v>315305</v>
      </c>
      <c r="H20" s="10">
        <f>Engagement_Summary[[#This Row],[Growth]]/Engagement_Summary[[#This Row],[Total_Followers]]</f>
        <v>4.3037693661692649E-3</v>
      </c>
      <c r="I20">
        <v>6.19</v>
      </c>
      <c r="J20">
        <v>5914</v>
      </c>
      <c r="K20" t="str">
        <f>IF(AND(A20&gt;=Campaign!$B$2,A20&lt;=Campaign!$C$2),"CybertruckLaunch",IF(AND(A20&gt;=Campaign!$B$3,A20&lt;=Campaign!$C$3),"ModelYcampaign",IF(AND(A20&gt;=Campaign!$B$4,A20&lt;=Campaign!$C$4),"FSDUpdate",IF(AND(A20&gt;=Campaign!$B$5,A20&lt;=Campaign!$C$5),"SustainabilityDrive","No Campaign"))))</f>
        <v>CybertruckLaunch</v>
      </c>
    </row>
    <row r="21" spans="1:11" x14ac:dyDescent="0.35">
      <c r="A21" s="2">
        <v>45474</v>
      </c>
      <c r="B21" s="12">
        <f t="shared" si="0"/>
        <v>5</v>
      </c>
      <c r="C21" s="1" t="s">
        <v>32</v>
      </c>
      <c r="D21">
        <v>144</v>
      </c>
      <c r="E21">
        <v>53</v>
      </c>
      <c r="F21">
        <f>Engagement_Summary[[#This Row],[New_Followers]]-Engagement_Summary[[#This Row],[Unfollows]]</f>
        <v>91</v>
      </c>
      <c r="G21">
        <v>113678</v>
      </c>
      <c r="H21" s="10">
        <f>Engagement_Summary[[#This Row],[Growth]]/Engagement_Summary[[#This Row],[Total_Followers]]</f>
        <v>8.0050669434719116E-4</v>
      </c>
      <c r="I21">
        <v>8.7200000000000006</v>
      </c>
      <c r="J21">
        <v>30060</v>
      </c>
      <c r="K21" t="str">
        <f>IF(AND(A21&gt;=Campaign!$B$2,A21&lt;=Campaign!$C$2),"CybertruckLaunch",IF(AND(A21&gt;=Campaign!$B$3,A21&lt;=Campaign!$C$3),"ModelYcampaign",IF(AND(A21&gt;=Campaign!$B$4,A21&lt;=Campaign!$C$4),"FSDUpdate",IF(AND(A21&gt;=Campaign!$B$5,A21&lt;=Campaign!$C$5),"SustainabilityDrive","No Campaign"))))</f>
        <v>CybertruckLaunch</v>
      </c>
    </row>
    <row r="22" spans="1:11" x14ac:dyDescent="0.35">
      <c r="A22" s="2">
        <v>45481</v>
      </c>
      <c r="B22" s="12">
        <f t="shared" si="0"/>
        <v>6</v>
      </c>
      <c r="C22" s="1" t="s">
        <v>29</v>
      </c>
      <c r="D22">
        <v>1757</v>
      </c>
      <c r="E22">
        <v>85</v>
      </c>
      <c r="F22">
        <f>Engagement_Summary[[#This Row],[New_Followers]]-Engagement_Summary[[#This Row],[Unfollows]]</f>
        <v>1672</v>
      </c>
      <c r="G22">
        <v>58223</v>
      </c>
      <c r="H22" s="10">
        <f>Engagement_Summary[[#This Row],[Growth]]/Engagement_Summary[[#This Row],[Total_Followers]]</f>
        <v>2.8717173625543171E-2</v>
      </c>
      <c r="I22">
        <v>8.74</v>
      </c>
      <c r="J22">
        <v>22728</v>
      </c>
      <c r="K22" t="str">
        <f>IF(AND(A22&gt;=Campaign!$B$2,A22&lt;=Campaign!$C$2),"CybertruckLaunch",IF(AND(A22&gt;=Campaign!$B$3,A22&lt;=Campaign!$C$3),"ModelYcampaign",IF(AND(A22&gt;=Campaign!$B$4,A22&lt;=Campaign!$C$4),"FSDUpdate",IF(AND(A22&gt;=Campaign!$B$5,A22&lt;=Campaign!$C$5),"SustainabilityDrive","No Campaign"))))</f>
        <v>CybertruckLaunch</v>
      </c>
    </row>
    <row r="23" spans="1:11" x14ac:dyDescent="0.35">
      <c r="A23" s="2">
        <v>45481</v>
      </c>
      <c r="B23" s="12">
        <f t="shared" si="0"/>
        <v>6</v>
      </c>
      <c r="C23" s="1" t="s">
        <v>30</v>
      </c>
      <c r="D23">
        <v>350</v>
      </c>
      <c r="E23">
        <v>41</v>
      </c>
      <c r="F23">
        <f>Engagement_Summary[[#This Row],[New_Followers]]-Engagement_Summary[[#This Row],[Unfollows]]</f>
        <v>309</v>
      </c>
      <c r="G23">
        <v>251694</v>
      </c>
      <c r="H23" s="10">
        <f>Engagement_Summary[[#This Row],[Growth]]/Engagement_Summary[[#This Row],[Total_Followers]]</f>
        <v>1.2276812319721568E-3</v>
      </c>
      <c r="I23">
        <v>1.91</v>
      </c>
      <c r="J23">
        <v>38610</v>
      </c>
      <c r="K23" t="str">
        <f>IF(AND(A23&gt;=Campaign!$B$2,A23&lt;=Campaign!$C$2),"CybertruckLaunch",IF(AND(A23&gt;=Campaign!$B$3,A23&lt;=Campaign!$C$3),"ModelYcampaign",IF(AND(A23&gt;=Campaign!$B$4,A23&lt;=Campaign!$C$4),"FSDUpdate",IF(AND(A23&gt;=Campaign!$B$5,A23&lt;=Campaign!$C$5),"SustainabilityDrive","No Campaign"))))</f>
        <v>CybertruckLaunch</v>
      </c>
    </row>
    <row r="24" spans="1:11" x14ac:dyDescent="0.35">
      <c r="A24" s="2">
        <v>45481</v>
      </c>
      <c r="B24" s="12">
        <f t="shared" si="0"/>
        <v>6</v>
      </c>
      <c r="C24" s="1" t="s">
        <v>31</v>
      </c>
      <c r="D24">
        <v>987</v>
      </c>
      <c r="E24">
        <v>440</v>
      </c>
      <c r="F24">
        <f>Engagement_Summary[[#This Row],[New_Followers]]-Engagement_Summary[[#This Row],[Unfollows]]</f>
        <v>547</v>
      </c>
      <c r="G24">
        <v>389810</v>
      </c>
      <c r="H24" s="10">
        <f>Engagement_Summary[[#This Row],[Growth]]/Engagement_Summary[[#This Row],[Total_Followers]]</f>
        <v>1.40324773607655E-3</v>
      </c>
      <c r="I24">
        <v>4.66</v>
      </c>
      <c r="J24">
        <v>2932</v>
      </c>
      <c r="K24" t="str">
        <f>IF(AND(A24&gt;=Campaign!$B$2,A24&lt;=Campaign!$C$2),"CybertruckLaunch",IF(AND(A24&gt;=Campaign!$B$3,A24&lt;=Campaign!$C$3),"ModelYcampaign",IF(AND(A24&gt;=Campaign!$B$4,A24&lt;=Campaign!$C$4),"FSDUpdate",IF(AND(A24&gt;=Campaign!$B$5,A24&lt;=Campaign!$C$5),"SustainabilityDrive","No Campaign"))))</f>
        <v>CybertruckLaunch</v>
      </c>
    </row>
    <row r="25" spans="1:11" x14ac:dyDescent="0.35">
      <c r="A25" s="2">
        <v>45481</v>
      </c>
      <c r="B25" s="12">
        <f t="shared" si="0"/>
        <v>6</v>
      </c>
      <c r="C25" s="1" t="s">
        <v>32</v>
      </c>
      <c r="D25">
        <v>883</v>
      </c>
      <c r="E25">
        <v>369</v>
      </c>
      <c r="F25">
        <f>Engagement_Summary[[#This Row],[New_Followers]]-Engagement_Summary[[#This Row],[Unfollows]]</f>
        <v>514</v>
      </c>
      <c r="G25">
        <v>233694</v>
      </c>
      <c r="H25" s="10">
        <f>Engagement_Summary[[#This Row],[Growth]]/Engagement_Summary[[#This Row],[Total_Followers]]</f>
        <v>2.1994574101175039E-3</v>
      </c>
      <c r="I25">
        <v>2.88</v>
      </c>
      <c r="J25">
        <v>15071</v>
      </c>
      <c r="K25" t="str">
        <f>IF(AND(A25&gt;=Campaign!$B$2,A25&lt;=Campaign!$C$2),"CybertruckLaunch",IF(AND(A25&gt;=Campaign!$B$3,A25&lt;=Campaign!$C$3),"ModelYcampaign",IF(AND(A25&gt;=Campaign!$B$4,A25&lt;=Campaign!$C$4),"FSDUpdate",IF(AND(A25&gt;=Campaign!$B$5,A25&lt;=Campaign!$C$5),"SustainabilityDrive","No Campaign"))))</f>
        <v>CybertruckLaunch</v>
      </c>
    </row>
    <row r="26" spans="1:11" x14ac:dyDescent="0.35">
      <c r="A26" s="2">
        <v>45488</v>
      </c>
      <c r="B26" s="12">
        <f t="shared" si="0"/>
        <v>7</v>
      </c>
      <c r="C26" s="1" t="s">
        <v>29</v>
      </c>
      <c r="D26">
        <v>1960</v>
      </c>
      <c r="E26">
        <v>115</v>
      </c>
      <c r="F26">
        <f>Engagement_Summary[[#This Row],[New_Followers]]-Engagement_Summary[[#This Row],[Unfollows]]</f>
        <v>1845</v>
      </c>
      <c r="G26">
        <v>154169</v>
      </c>
      <c r="H26" s="10">
        <f>Engagement_Summary[[#This Row],[Growth]]/Engagement_Summary[[#This Row],[Total_Followers]]</f>
        <v>1.1967386439556591E-2</v>
      </c>
      <c r="I26">
        <v>3.74</v>
      </c>
      <c r="J26">
        <v>10740</v>
      </c>
      <c r="K26" t="str">
        <f>IF(AND(A26&gt;=Campaign!$B$2,A26&lt;=Campaign!$C$2),"CybertruckLaunch",IF(AND(A26&gt;=Campaign!$B$3,A26&lt;=Campaign!$C$3),"ModelYcampaign",IF(AND(A26&gt;=Campaign!$B$4,A26&lt;=Campaign!$C$4),"FSDUpdate",IF(AND(A26&gt;=Campaign!$B$5,A26&lt;=Campaign!$C$5),"SustainabilityDrive","No Campaign"))))</f>
        <v>CybertruckLaunch</v>
      </c>
    </row>
    <row r="27" spans="1:11" x14ac:dyDescent="0.35">
      <c r="A27" s="2">
        <v>45488</v>
      </c>
      <c r="B27" s="12">
        <f t="shared" si="0"/>
        <v>7</v>
      </c>
      <c r="C27" s="1" t="s">
        <v>30</v>
      </c>
      <c r="D27">
        <v>170</v>
      </c>
      <c r="E27">
        <v>334</v>
      </c>
      <c r="F27">
        <f>Engagement_Summary[[#This Row],[New_Followers]]-Engagement_Summary[[#This Row],[Unfollows]]</f>
        <v>-164</v>
      </c>
      <c r="G27">
        <v>334626</v>
      </c>
      <c r="H27" s="10">
        <f>Engagement_Summary[[#This Row],[Growth]]/Engagement_Summary[[#This Row],[Total_Followers]]</f>
        <v>-4.9009939454794306E-4</v>
      </c>
      <c r="I27">
        <v>6.44</v>
      </c>
      <c r="J27">
        <v>43420</v>
      </c>
      <c r="K27" t="str">
        <f>IF(AND(A27&gt;=Campaign!$B$2,A27&lt;=Campaign!$C$2),"CybertruckLaunch",IF(AND(A27&gt;=Campaign!$B$3,A27&lt;=Campaign!$C$3),"ModelYcampaign",IF(AND(A27&gt;=Campaign!$B$4,A27&lt;=Campaign!$C$4),"FSDUpdate",IF(AND(A27&gt;=Campaign!$B$5,A27&lt;=Campaign!$C$5),"SustainabilityDrive","No Campaign"))))</f>
        <v>CybertruckLaunch</v>
      </c>
    </row>
    <row r="28" spans="1:11" x14ac:dyDescent="0.35">
      <c r="A28" s="2">
        <v>45488</v>
      </c>
      <c r="B28" s="12">
        <f t="shared" si="0"/>
        <v>7</v>
      </c>
      <c r="C28" s="1" t="s">
        <v>31</v>
      </c>
      <c r="D28">
        <v>704</v>
      </c>
      <c r="E28">
        <v>275</v>
      </c>
      <c r="F28">
        <f>Engagement_Summary[[#This Row],[New_Followers]]-Engagement_Summary[[#This Row],[Unfollows]]</f>
        <v>429</v>
      </c>
      <c r="G28">
        <v>226002</v>
      </c>
      <c r="H28" s="10">
        <f>Engagement_Summary[[#This Row],[Growth]]/Engagement_Summary[[#This Row],[Total_Followers]]</f>
        <v>1.8982132901478749E-3</v>
      </c>
      <c r="I28">
        <v>8.56</v>
      </c>
      <c r="J28">
        <v>32393</v>
      </c>
      <c r="K28" t="str">
        <f>IF(AND(A28&gt;=Campaign!$B$2,A28&lt;=Campaign!$C$2),"CybertruckLaunch",IF(AND(A28&gt;=Campaign!$B$3,A28&lt;=Campaign!$C$3),"ModelYcampaign",IF(AND(A28&gt;=Campaign!$B$4,A28&lt;=Campaign!$C$4),"FSDUpdate",IF(AND(A28&gt;=Campaign!$B$5,A28&lt;=Campaign!$C$5),"SustainabilityDrive","No Campaign"))))</f>
        <v>CybertruckLaunch</v>
      </c>
    </row>
    <row r="29" spans="1:11" x14ac:dyDescent="0.35">
      <c r="A29" s="2">
        <v>45488</v>
      </c>
      <c r="B29" s="12">
        <f t="shared" si="0"/>
        <v>7</v>
      </c>
      <c r="C29" s="1" t="s">
        <v>32</v>
      </c>
      <c r="D29">
        <v>224</v>
      </c>
      <c r="E29">
        <v>64</v>
      </c>
      <c r="F29">
        <f>Engagement_Summary[[#This Row],[New_Followers]]-Engagement_Summary[[#This Row],[Unfollows]]</f>
        <v>160</v>
      </c>
      <c r="G29">
        <v>156683</v>
      </c>
      <c r="H29" s="10">
        <f>Engagement_Summary[[#This Row],[Growth]]/Engagement_Summary[[#This Row],[Total_Followers]]</f>
        <v>1.0211701333265254E-3</v>
      </c>
      <c r="I29">
        <v>4.5599999999999996</v>
      </c>
      <c r="J29">
        <v>28474</v>
      </c>
      <c r="K29" t="str">
        <f>IF(AND(A29&gt;=Campaign!$B$2,A29&lt;=Campaign!$C$2),"CybertruckLaunch",IF(AND(A29&gt;=Campaign!$B$3,A29&lt;=Campaign!$C$3),"ModelYcampaign",IF(AND(A29&gt;=Campaign!$B$4,A29&lt;=Campaign!$C$4),"FSDUpdate",IF(AND(A29&gt;=Campaign!$B$5,A29&lt;=Campaign!$C$5),"SustainabilityDrive","No Campaign"))))</f>
        <v>CybertruckLaunch</v>
      </c>
    </row>
    <row r="30" spans="1:11" x14ac:dyDescent="0.35">
      <c r="A30" s="2">
        <v>45495</v>
      </c>
      <c r="B30" s="12">
        <f t="shared" si="0"/>
        <v>8</v>
      </c>
      <c r="C30" s="1" t="s">
        <v>29</v>
      </c>
      <c r="D30">
        <v>508</v>
      </c>
      <c r="E30">
        <v>349</v>
      </c>
      <c r="F30">
        <f>Engagement_Summary[[#This Row],[New_Followers]]-Engagement_Summary[[#This Row],[Unfollows]]</f>
        <v>159</v>
      </c>
      <c r="G30">
        <v>473812</v>
      </c>
      <c r="H30" s="10">
        <f>Engagement_Summary[[#This Row],[Growth]]/Engagement_Summary[[#This Row],[Total_Followers]]</f>
        <v>3.3557613568250698E-4</v>
      </c>
      <c r="I30">
        <v>7.88</v>
      </c>
      <c r="J30">
        <v>17328</v>
      </c>
      <c r="K30" t="str">
        <f>IF(AND(A30&gt;=Campaign!$B$2,A30&lt;=Campaign!$C$2),"CybertruckLaunch",IF(AND(A30&gt;=Campaign!$B$3,A30&lt;=Campaign!$C$3),"ModelYcampaign",IF(AND(A30&gt;=Campaign!$B$4,A30&lt;=Campaign!$C$4),"FSDUpdate",IF(AND(A30&gt;=Campaign!$B$5,A30&lt;=Campaign!$C$5),"SustainabilityDrive","No Campaign"))))</f>
        <v>No Campaign</v>
      </c>
    </row>
    <row r="31" spans="1:11" x14ac:dyDescent="0.35">
      <c r="A31" s="2">
        <v>45495</v>
      </c>
      <c r="B31" s="12">
        <f t="shared" si="0"/>
        <v>8</v>
      </c>
      <c r="C31" s="1" t="s">
        <v>30</v>
      </c>
      <c r="D31">
        <v>1391</v>
      </c>
      <c r="E31">
        <v>430</v>
      </c>
      <c r="F31">
        <f>Engagement_Summary[[#This Row],[New_Followers]]-Engagement_Summary[[#This Row],[Unfollows]]</f>
        <v>961</v>
      </c>
      <c r="G31">
        <v>295032</v>
      </c>
      <c r="H31" s="10">
        <f>Engagement_Summary[[#This Row],[Growth]]/Engagement_Summary[[#This Row],[Total_Followers]]</f>
        <v>3.2572737872501967E-3</v>
      </c>
      <c r="I31">
        <v>7.86</v>
      </c>
      <c r="J31">
        <v>26067</v>
      </c>
      <c r="K31" t="str">
        <f>IF(AND(A31&gt;=Campaign!$B$2,A31&lt;=Campaign!$C$2),"CybertruckLaunch",IF(AND(A31&gt;=Campaign!$B$3,A31&lt;=Campaign!$C$3),"ModelYcampaign",IF(AND(A31&gt;=Campaign!$B$4,A31&lt;=Campaign!$C$4),"FSDUpdate",IF(AND(A31&gt;=Campaign!$B$5,A31&lt;=Campaign!$C$5),"SustainabilityDrive","No Campaign"))))</f>
        <v>No Campaign</v>
      </c>
    </row>
    <row r="32" spans="1:11" x14ac:dyDescent="0.35">
      <c r="A32" s="2">
        <v>45495</v>
      </c>
      <c r="B32" s="12">
        <f t="shared" si="0"/>
        <v>8</v>
      </c>
      <c r="C32" s="1" t="s">
        <v>31</v>
      </c>
      <c r="D32">
        <v>1701</v>
      </c>
      <c r="E32">
        <v>385</v>
      </c>
      <c r="F32">
        <f>Engagement_Summary[[#This Row],[New_Followers]]-Engagement_Summary[[#This Row],[Unfollows]]</f>
        <v>1316</v>
      </c>
      <c r="G32">
        <v>198278</v>
      </c>
      <c r="H32" s="10">
        <f>Engagement_Summary[[#This Row],[Growth]]/Engagement_Summary[[#This Row],[Total_Followers]]</f>
        <v>6.6371458255580548E-3</v>
      </c>
      <c r="I32">
        <v>5.34</v>
      </c>
      <c r="J32">
        <v>32763</v>
      </c>
      <c r="K32" t="str">
        <f>IF(AND(A32&gt;=Campaign!$B$2,A32&lt;=Campaign!$C$2),"CybertruckLaunch",IF(AND(A32&gt;=Campaign!$B$3,A32&lt;=Campaign!$C$3),"ModelYcampaign",IF(AND(A32&gt;=Campaign!$B$4,A32&lt;=Campaign!$C$4),"FSDUpdate",IF(AND(A32&gt;=Campaign!$B$5,A32&lt;=Campaign!$C$5),"SustainabilityDrive","No Campaign"))))</f>
        <v>No Campaign</v>
      </c>
    </row>
    <row r="33" spans="1:11" x14ac:dyDescent="0.35">
      <c r="A33" s="2">
        <v>45495</v>
      </c>
      <c r="B33" s="12">
        <f t="shared" si="0"/>
        <v>8</v>
      </c>
      <c r="C33" s="1" t="s">
        <v>32</v>
      </c>
      <c r="D33">
        <v>804</v>
      </c>
      <c r="E33">
        <v>487</v>
      </c>
      <c r="F33">
        <f>Engagement_Summary[[#This Row],[New_Followers]]-Engagement_Summary[[#This Row],[Unfollows]]</f>
        <v>317</v>
      </c>
      <c r="G33">
        <v>306564</v>
      </c>
      <c r="H33" s="10">
        <f>Engagement_Summary[[#This Row],[Growth]]/Engagement_Summary[[#This Row],[Total_Followers]]</f>
        <v>1.0340418313957282E-3</v>
      </c>
      <c r="I33">
        <v>5.52</v>
      </c>
      <c r="J33">
        <v>26452</v>
      </c>
      <c r="K33" t="str">
        <f>IF(AND(A33&gt;=Campaign!$B$2,A33&lt;=Campaign!$C$2),"CybertruckLaunch",IF(AND(A33&gt;=Campaign!$B$3,A33&lt;=Campaign!$C$3),"ModelYcampaign",IF(AND(A33&gt;=Campaign!$B$4,A33&lt;=Campaign!$C$4),"FSDUpdate",IF(AND(A33&gt;=Campaign!$B$5,A33&lt;=Campaign!$C$5),"SustainabilityDrive","No Campaign"))))</f>
        <v>No Campaign</v>
      </c>
    </row>
    <row r="34" spans="1:11" x14ac:dyDescent="0.35">
      <c r="A34" s="2">
        <v>45502</v>
      </c>
      <c r="B34" s="12">
        <f t="shared" ref="B34:B65" si="1">MATCH(A34,_xlfn.UNIQUE($A$2:$A$200),0)</f>
        <v>9</v>
      </c>
      <c r="C34" s="1" t="s">
        <v>29</v>
      </c>
      <c r="D34">
        <v>653</v>
      </c>
      <c r="E34">
        <v>112</v>
      </c>
      <c r="F34">
        <f>Engagement_Summary[[#This Row],[New_Followers]]-Engagement_Summary[[#This Row],[Unfollows]]</f>
        <v>541</v>
      </c>
      <c r="G34">
        <v>23664</v>
      </c>
      <c r="H34" s="10">
        <f>Engagement_Summary[[#This Row],[Growth]]/Engagement_Summary[[#This Row],[Total_Followers]]</f>
        <v>2.2861730899256253E-2</v>
      </c>
      <c r="I34">
        <v>4.05</v>
      </c>
      <c r="J34">
        <v>15353</v>
      </c>
      <c r="K34" t="str">
        <f>IF(AND(A34&gt;=Campaign!$B$2,A34&lt;=Campaign!$C$2),"CybertruckLaunch",IF(AND(A34&gt;=Campaign!$B$3,A34&lt;=Campaign!$C$3),"ModelYcampaign",IF(AND(A34&gt;=Campaign!$B$4,A34&lt;=Campaign!$C$4),"FSDUpdate",IF(AND(A34&gt;=Campaign!$B$5,A34&lt;=Campaign!$C$5),"SustainabilityDrive","No Campaign"))))</f>
        <v>No Campaign</v>
      </c>
    </row>
    <row r="35" spans="1:11" x14ac:dyDescent="0.35">
      <c r="A35" s="2">
        <v>45502</v>
      </c>
      <c r="B35" s="12">
        <f t="shared" si="1"/>
        <v>9</v>
      </c>
      <c r="C35" s="1" t="s">
        <v>30</v>
      </c>
      <c r="D35">
        <v>160</v>
      </c>
      <c r="E35">
        <v>478</v>
      </c>
      <c r="F35">
        <f>Engagement_Summary[[#This Row],[New_Followers]]-Engagement_Summary[[#This Row],[Unfollows]]</f>
        <v>-318</v>
      </c>
      <c r="G35">
        <v>435034</v>
      </c>
      <c r="H35" s="10">
        <f>Engagement_Summary[[#This Row],[Growth]]/Engagement_Summary[[#This Row],[Total_Followers]]</f>
        <v>-7.3097734889686784E-4</v>
      </c>
      <c r="I35">
        <v>7.73</v>
      </c>
      <c r="J35">
        <v>4839</v>
      </c>
      <c r="K35" t="str">
        <f>IF(AND(A35&gt;=Campaign!$B$2,A35&lt;=Campaign!$C$2),"CybertruckLaunch",IF(AND(A35&gt;=Campaign!$B$3,A35&lt;=Campaign!$C$3),"ModelYcampaign",IF(AND(A35&gt;=Campaign!$B$4,A35&lt;=Campaign!$C$4),"FSDUpdate",IF(AND(A35&gt;=Campaign!$B$5,A35&lt;=Campaign!$C$5),"SustainabilityDrive","No Campaign"))))</f>
        <v>No Campaign</v>
      </c>
    </row>
    <row r="36" spans="1:11" x14ac:dyDescent="0.35">
      <c r="A36" s="2">
        <v>45502</v>
      </c>
      <c r="B36" s="12">
        <f t="shared" si="1"/>
        <v>9</v>
      </c>
      <c r="C36" s="1" t="s">
        <v>31</v>
      </c>
      <c r="D36">
        <v>1756</v>
      </c>
      <c r="E36">
        <v>261</v>
      </c>
      <c r="F36">
        <f>Engagement_Summary[[#This Row],[New_Followers]]-Engagement_Summary[[#This Row],[Unfollows]]</f>
        <v>1495</v>
      </c>
      <c r="G36">
        <v>287574</v>
      </c>
      <c r="H36" s="10">
        <f>Engagement_Summary[[#This Row],[Growth]]/Engagement_Summary[[#This Row],[Total_Followers]]</f>
        <v>5.1986619096302169E-3</v>
      </c>
      <c r="I36">
        <v>4.3600000000000003</v>
      </c>
      <c r="J36">
        <v>39272</v>
      </c>
      <c r="K36" t="str">
        <f>IF(AND(A36&gt;=Campaign!$B$2,A36&lt;=Campaign!$C$2),"CybertruckLaunch",IF(AND(A36&gt;=Campaign!$B$3,A36&lt;=Campaign!$C$3),"ModelYcampaign",IF(AND(A36&gt;=Campaign!$B$4,A36&lt;=Campaign!$C$4),"FSDUpdate",IF(AND(A36&gt;=Campaign!$B$5,A36&lt;=Campaign!$C$5),"SustainabilityDrive","No Campaign"))))</f>
        <v>No Campaign</v>
      </c>
    </row>
    <row r="37" spans="1:11" x14ac:dyDescent="0.35">
      <c r="A37" s="2">
        <v>45502</v>
      </c>
      <c r="B37" s="12">
        <f t="shared" si="1"/>
        <v>9</v>
      </c>
      <c r="C37" s="1" t="s">
        <v>32</v>
      </c>
      <c r="D37">
        <v>576</v>
      </c>
      <c r="E37">
        <v>101</v>
      </c>
      <c r="F37">
        <f>Engagement_Summary[[#This Row],[New_Followers]]-Engagement_Summary[[#This Row],[Unfollows]]</f>
        <v>475</v>
      </c>
      <c r="G37">
        <v>62499</v>
      </c>
      <c r="H37" s="10">
        <f>Engagement_Summary[[#This Row],[Growth]]/Engagement_Summary[[#This Row],[Total_Followers]]</f>
        <v>7.600121601945631E-3</v>
      </c>
      <c r="I37">
        <v>3.48</v>
      </c>
      <c r="J37">
        <v>16804</v>
      </c>
      <c r="K37" t="str">
        <f>IF(AND(A37&gt;=Campaign!$B$2,A37&lt;=Campaign!$C$2),"CybertruckLaunch",IF(AND(A37&gt;=Campaign!$B$3,A37&lt;=Campaign!$C$3),"ModelYcampaign",IF(AND(A37&gt;=Campaign!$B$4,A37&lt;=Campaign!$C$4),"FSDUpdate",IF(AND(A37&gt;=Campaign!$B$5,A37&lt;=Campaign!$C$5),"SustainabilityDrive","No Campaign"))))</f>
        <v>No Campaign</v>
      </c>
    </row>
    <row r="38" spans="1:11" x14ac:dyDescent="0.35">
      <c r="A38" s="2">
        <v>45509</v>
      </c>
      <c r="B38" s="12">
        <f t="shared" si="1"/>
        <v>10</v>
      </c>
      <c r="C38" s="1" t="s">
        <v>29</v>
      </c>
      <c r="D38">
        <v>645</v>
      </c>
      <c r="E38">
        <v>293</v>
      </c>
      <c r="F38">
        <f>Engagement_Summary[[#This Row],[New_Followers]]-Engagement_Summary[[#This Row],[Unfollows]]</f>
        <v>352</v>
      </c>
      <c r="G38">
        <v>437968</v>
      </c>
      <c r="H38" s="10">
        <f>Engagement_Summary[[#This Row],[Growth]]/Engagement_Summary[[#This Row],[Total_Followers]]</f>
        <v>8.0371168669857163E-4</v>
      </c>
      <c r="I38">
        <v>7.83</v>
      </c>
      <c r="J38">
        <v>49303</v>
      </c>
      <c r="K38" t="str">
        <f>IF(AND(A38&gt;=Campaign!$B$2,A38&lt;=Campaign!$C$2),"CybertruckLaunch",IF(AND(A38&gt;=Campaign!$B$3,A38&lt;=Campaign!$C$3),"ModelYcampaign",IF(AND(A38&gt;=Campaign!$B$4,A38&lt;=Campaign!$C$4),"FSDUpdate",IF(AND(A38&gt;=Campaign!$B$5,A38&lt;=Campaign!$C$5),"SustainabilityDrive","No Campaign"))))</f>
        <v>No Campaign</v>
      </c>
    </row>
    <row r="39" spans="1:11" x14ac:dyDescent="0.35">
      <c r="A39" s="2">
        <v>45509</v>
      </c>
      <c r="B39" s="12">
        <f t="shared" si="1"/>
        <v>10</v>
      </c>
      <c r="C39" s="1" t="s">
        <v>30</v>
      </c>
      <c r="D39">
        <v>214</v>
      </c>
      <c r="E39">
        <v>411</v>
      </c>
      <c r="F39">
        <f>Engagement_Summary[[#This Row],[New_Followers]]-Engagement_Summary[[#This Row],[Unfollows]]</f>
        <v>-197</v>
      </c>
      <c r="G39">
        <v>125034</v>
      </c>
      <c r="H39" s="10">
        <f>Engagement_Summary[[#This Row],[Growth]]/Engagement_Summary[[#This Row],[Total_Followers]]</f>
        <v>-1.5755714445670778E-3</v>
      </c>
      <c r="I39">
        <v>6.11</v>
      </c>
      <c r="J39">
        <v>26455</v>
      </c>
      <c r="K39" t="str">
        <f>IF(AND(A39&gt;=Campaign!$B$2,A39&lt;=Campaign!$C$2),"CybertruckLaunch",IF(AND(A39&gt;=Campaign!$B$3,A39&lt;=Campaign!$C$3),"ModelYcampaign",IF(AND(A39&gt;=Campaign!$B$4,A39&lt;=Campaign!$C$4),"FSDUpdate",IF(AND(A39&gt;=Campaign!$B$5,A39&lt;=Campaign!$C$5),"SustainabilityDrive","No Campaign"))))</f>
        <v>No Campaign</v>
      </c>
    </row>
    <row r="40" spans="1:11" x14ac:dyDescent="0.35">
      <c r="A40" s="2">
        <v>45509</v>
      </c>
      <c r="B40" s="12">
        <f t="shared" si="1"/>
        <v>10</v>
      </c>
      <c r="C40" s="1" t="s">
        <v>31</v>
      </c>
      <c r="D40">
        <v>826</v>
      </c>
      <c r="E40">
        <v>498</v>
      </c>
      <c r="F40">
        <f>Engagement_Summary[[#This Row],[New_Followers]]-Engagement_Summary[[#This Row],[Unfollows]]</f>
        <v>328</v>
      </c>
      <c r="G40">
        <v>449994</v>
      </c>
      <c r="H40" s="10">
        <f>Engagement_Summary[[#This Row],[Growth]]/Engagement_Summary[[#This Row],[Total_Followers]]</f>
        <v>7.2889860753698943E-4</v>
      </c>
      <c r="I40">
        <v>9.43</v>
      </c>
      <c r="J40">
        <v>12384</v>
      </c>
      <c r="K40" t="str">
        <f>IF(AND(A40&gt;=Campaign!$B$2,A40&lt;=Campaign!$C$2),"CybertruckLaunch",IF(AND(A40&gt;=Campaign!$B$3,A40&lt;=Campaign!$C$3),"ModelYcampaign",IF(AND(A40&gt;=Campaign!$B$4,A40&lt;=Campaign!$C$4),"FSDUpdate",IF(AND(A40&gt;=Campaign!$B$5,A40&lt;=Campaign!$C$5),"SustainabilityDrive","No Campaign"))))</f>
        <v>No Campaign</v>
      </c>
    </row>
    <row r="41" spans="1:11" x14ac:dyDescent="0.35">
      <c r="A41" s="2">
        <v>45509</v>
      </c>
      <c r="B41" s="12">
        <f t="shared" si="1"/>
        <v>10</v>
      </c>
      <c r="C41" s="1" t="s">
        <v>32</v>
      </c>
      <c r="D41">
        <v>460</v>
      </c>
      <c r="E41">
        <v>141</v>
      </c>
      <c r="F41">
        <f>Engagement_Summary[[#This Row],[New_Followers]]-Engagement_Summary[[#This Row],[Unfollows]]</f>
        <v>319</v>
      </c>
      <c r="G41">
        <v>320650</v>
      </c>
      <c r="H41" s="10">
        <f>Engagement_Summary[[#This Row],[Growth]]/Engagement_Summary[[#This Row],[Total_Followers]]</f>
        <v>9.9485420240137223E-4</v>
      </c>
      <c r="I41">
        <v>4.04</v>
      </c>
      <c r="J41">
        <v>49372</v>
      </c>
      <c r="K41" t="str">
        <f>IF(AND(A41&gt;=Campaign!$B$2,A41&lt;=Campaign!$C$2),"CybertruckLaunch",IF(AND(A41&gt;=Campaign!$B$3,A41&lt;=Campaign!$C$3),"ModelYcampaign",IF(AND(A41&gt;=Campaign!$B$4,A41&lt;=Campaign!$C$4),"FSDUpdate",IF(AND(A41&gt;=Campaign!$B$5,A41&lt;=Campaign!$C$5),"SustainabilityDrive","No Campaign"))))</f>
        <v>No Campaign</v>
      </c>
    </row>
    <row r="42" spans="1:11" x14ac:dyDescent="0.35">
      <c r="A42" s="2">
        <v>45516</v>
      </c>
      <c r="B42" s="12">
        <f t="shared" si="1"/>
        <v>11</v>
      </c>
      <c r="C42" s="1" t="s">
        <v>29</v>
      </c>
      <c r="D42">
        <v>1528</v>
      </c>
      <c r="E42">
        <v>203</v>
      </c>
      <c r="F42">
        <f>Engagement_Summary[[#This Row],[New_Followers]]-Engagement_Summary[[#This Row],[Unfollows]]</f>
        <v>1325</v>
      </c>
      <c r="G42">
        <v>489188</v>
      </c>
      <c r="H42" s="10">
        <f>Engagement_Summary[[#This Row],[Growth]]/Engagement_Summary[[#This Row],[Total_Followers]]</f>
        <v>2.7085701202809553E-3</v>
      </c>
      <c r="I42">
        <v>6.23</v>
      </c>
      <c r="J42">
        <v>47101</v>
      </c>
      <c r="K42" t="str">
        <f>IF(AND(A42&gt;=Campaign!$B$2,A42&lt;=Campaign!$C$2),"CybertruckLaunch",IF(AND(A42&gt;=Campaign!$B$3,A42&lt;=Campaign!$C$3),"ModelYcampaign",IF(AND(A42&gt;=Campaign!$B$4,A42&lt;=Campaign!$C$4),"FSDUpdate",IF(AND(A42&gt;=Campaign!$B$5,A42&lt;=Campaign!$C$5),"SustainabilityDrive","No Campaign"))))</f>
        <v>No Campaign</v>
      </c>
    </row>
    <row r="43" spans="1:11" x14ac:dyDescent="0.35">
      <c r="A43" s="2">
        <v>45516</v>
      </c>
      <c r="B43" s="12">
        <f t="shared" si="1"/>
        <v>11</v>
      </c>
      <c r="C43" s="1" t="s">
        <v>30</v>
      </c>
      <c r="D43">
        <v>1534</v>
      </c>
      <c r="E43">
        <v>200</v>
      </c>
      <c r="F43">
        <f>Engagement_Summary[[#This Row],[New_Followers]]-Engagement_Summary[[#This Row],[Unfollows]]</f>
        <v>1334</v>
      </c>
      <c r="G43">
        <v>307612</v>
      </c>
      <c r="H43" s="10">
        <f>Engagement_Summary[[#This Row],[Growth]]/Engagement_Summary[[#This Row],[Total_Followers]]</f>
        <v>4.3366318609156986E-3</v>
      </c>
      <c r="I43">
        <v>6.01</v>
      </c>
      <c r="J43">
        <v>37903</v>
      </c>
      <c r="K43" t="str">
        <f>IF(AND(A43&gt;=Campaign!$B$2,A43&lt;=Campaign!$C$2),"CybertruckLaunch",IF(AND(A43&gt;=Campaign!$B$3,A43&lt;=Campaign!$C$3),"ModelYcampaign",IF(AND(A43&gt;=Campaign!$B$4,A43&lt;=Campaign!$C$4),"FSDUpdate",IF(AND(A43&gt;=Campaign!$B$5,A43&lt;=Campaign!$C$5),"SustainabilityDrive","No Campaign"))))</f>
        <v>No Campaign</v>
      </c>
    </row>
    <row r="44" spans="1:11" x14ac:dyDescent="0.35">
      <c r="A44" s="2">
        <v>45516</v>
      </c>
      <c r="B44" s="12">
        <f t="shared" si="1"/>
        <v>11</v>
      </c>
      <c r="C44" s="1" t="s">
        <v>31</v>
      </c>
      <c r="D44">
        <v>485</v>
      </c>
      <c r="E44">
        <v>448</v>
      </c>
      <c r="F44">
        <f>Engagement_Summary[[#This Row],[New_Followers]]-Engagement_Summary[[#This Row],[Unfollows]]</f>
        <v>37</v>
      </c>
      <c r="G44">
        <v>434883</v>
      </c>
      <c r="H44" s="10">
        <f>Engagement_Summary[[#This Row],[Growth]]/Engagement_Summary[[#This Row],[Total_Followers]]</f>
        <v>8.5080354946042954E-5</v>
      </c>
      <c r="I44">
        <v>8.5500000000000007</v>
      </c>
      <c r="J44">
        <v>33258</v>
      </c>
      <c r="K44" t="str">
        <f>IF(AND(A44&gt;=Campaign!$B$2,A44&lt;=Campaign!$C$2),"CybertruckLaunch",IF(AND(A44&gt;=Campaign!$B$3,A44&lt;=Campaign!$C$3),"ModelYcampaign",IF(AND(A44&gt;=Campaign!$B$4,A44&lt;=Campaign!$C$4),"FSDUpdate",IF(AND(A44&gt;=Campaign!$B$5,A44&lt;=Campaign!$C$5),"SustainabilityDrive","No Campaign"))))</f>
        <v>No Campaign</v>
      </c>
    </row>
    <row r="45" spans="1:11" x14ac:dyDescent="0.35">
      <c r="A45" s="2">
        <v>45516</v>
      </c>
      <c r="B45" s="12">
        <f t="shared" si="1"/>
        <v>11</v>
      </c>
      <c r="C45" s="1" t="s">
        <v>32</v>
      </c>
      <c r="D45">
        <v>1210</v>
      </c>
      <c r="E45">
        <v>178</v>
      </c>
      <c r="F45">
        <f>Engagement_Summary[[#This Row],[New_Followers]]-Engagement_Summary[[#This Row],[Unfollows]]</f>
        <v>1032</v>
      </c>
      <c r="G45">
        <v>102042</v>
      </c>
      <c r="H45" s="10">
        <f>Engagement_Summary[[#This Row],[Growth]]/Engagement_Summary[[#This Row],[Total_Followers]]</f>
        <v>1.011348268360087E-2</v>
      </c>
      <c r="I45">
        <v>5.42</v>
      </c>
      <c r="J45">
        <v>6915</v>
      </c>
      <c r="K45" t="str">
        <f>IF(AND(A45&gt;=Campaign!$B$2,A45&lt;=Campaign!$C$2),"CybertruckLaunch",IF(AND(A45&gt;=Campaign!$B$3,A45&lt;=Campaign!$C$3),"ModelYcampaign",IF(AND(A45&gt;=Campaign!$B$4,A45&lt;=Campaign!$C$4),"FSDUpdate",IF(AND(A45&gt;=Campaign!$B$5,A45&lt;=Campaign!$C$5),"SustainabilityDrive","No Campaign"))))</f>
        <v>No Campaign</v>
      </c>
    </row>
    <row r="46" spans="1:11" x14ac:dyDescent="0.35">
      <c r="A46" s="2">
        <v>45523</v>
      </c>
      <c r="B46" s="12">
        <f t="shared" si="1"/>
        <v>12</v>
      </c>
      <c r="C46" s="1" t="s">
        <v>29</v>
      </c>
      <c r="D46">
        <v>215</v>
      </c>
      <c r="E46">
        <v>139</v>
      </c>
      <c r="F46">
        <f>Engagement_Summary[[#This Row],[New_Followers]]-Engagement_Summary[[#This Row],[Unfollows]]</f>
        <v>76</v>
      </c>
      <c r="G46">
        <v>325444</v>
      </c>
      <c r="H46" s="10">
        <f>Engagement_Summary[[#This Row],[Growth]]/Engagement_Summary[[#This Row],[Total_Followers]]</f>
        <v>2.335271198731579E-4</v>
      </c>
      <c r="I46">
        <v>3.25</v>
      </c>
      <c r="J46">
        <v>35501</v>
      </c>
      <c r="K46" t="str">
        <f>IF(AND(A46&gt;=Campaign!$B$2,A46&lt;=Campaign!$C$2),"CybertruckLaunch",IF(AND(A46&gt;=Campaign!$B$3,A46&lt;=Campaign!$C$3),"ModelYcampaign",IF(AND(A46&gt;=Campaign!$B$4,A46&lt;=Campaign!$C$4),"FSDUpdate",IF(AND(A46&gt;=Campaign!$B$5,A46&lt;=Campaign!$C$5),"SustainabilityDrive","No Campaign"))))</f>
        <v>No Campaign</v>
      </c>
    </row>
    <row r="47" spans="1:11" x14ac:dyDescent="0.35">
      <c r="A47" s="2">
        <v>45523</v>
      </c>
      <c r="B47" s="12">
        <f t="shared" si="1"/>
        <v>12</v>
      </c>
      <c r="C47" s="1" t="s">
        <v>30</v>
      </c>
      <c r="D47">
        <v>1078</v>
      </c>
      <c r="E47">
        <v>20</v>
      </c>
      <c r="F47">
        <f>Engagement_Summary[[#This Row],[New_Followers]]-Engagement_Summary[[#This Row],[Unfollows]]</f>
        <v>1058</v>
      </c>
      <c r="G47">
        <v>183924</v>
      </c>
      <c r="H47" s="10">
        <f>Engagement_Summary[[#This Row],[Growth]]/Engagement_Summary[[#This Row],[Total_Followers]]</f>
        <v>5.7523759813836147E-3</v>
      </c>
      <c r="I47">
        <v>8.84</v>
      </c>
      <c r="J47">
        <v>14203</v>
      </c>
      <c r="K47" t="str">
        <f>IF(AND(A47&gt;=Campaign!$B$2,A47&lt;=Campaign!$C$2),"CybertruckLaunch",IF(AND(A47&gt;=Campaign!$B$3,A47&lt;=Campaign!$C$3),"ModelYcampaign",IF(AND(A47&gt;=Campaign!$B$4,A47&lt;=Campaign!$C$4),"FSDUpdate",IF(AND(A47&gt;=Campaign!$B$5,A47&lt;=Campaign!$C$5),"SustainabilityDrive","No Campaign"))))</f>
        <v>No Campaign</v>
      </c>
    </row>
    <row r="48" spans="1:11" x14ac:dyDescent="0.35">
      <c r="A48" s="2">
        <v>45523</v>
      </c>
      <c r="B48" s="12">
        <f t="shared" si="1"/>
        <v>12</v>
      </c>
      <c r="C48" s="1" t="s">
        <v>31</v>
      </c>
      <c r="D48">
        <v>1751</v>
      </c>
      <c r="E48">
        <v>86</v>
      </c>
      <c r="F48">
        <f>Engagement_Summary[[#This Row],[New_Followers]]-Engagement_Summary[[#This Row],[Unfollows]]</f>
        <v>1665</v>
      </c>
      <c r="G48">
        <v>188655</v>
      </c>
      <c r="H48" s="10">
        <f>Engagement_Summary[[#This Row],[Growth]]/Engagement_Summary[[#This Row],[Total_Followers]]</f>
        <v>8.825634093981077E-3</v>
      </c>
      <c r="I48">
        <v>7.24</v>
      </c>
      <c r="J48">
        <v>22206</v>
      </c>
      <c r="K48" t="str">
        <f>IF(AND(A48&gt;=Campaign!$B$2,A48&lt;=Campaign!$C$2),"CybertruckLaunch",IF(AND(A48&gt;=Campaign!$B$3,A48&lt;=Campaign!$C$3),"ModelYcampaign",IF(AND(A48&gt;=Campaign!$B$4,A48&lt;=Campaign!$C$4),"FSDUpdate",IF(AND(A48&gt;=Campaign!$B$5,A48&lt;=Campaign!$C$5),"SustainabilityDrive","No Campaign"))))</f>
        <v>No Campaign</v>
      </c>
    </row>
    <row r="49" spans="1:11" x14ac:dyDescent="0.35">
      <c r="A49" s="2">
        <v>45523</v>
      </c>
      <c r="B49" s="12">
        <f t="shared" si="1"/>
        <v>12</v>
      </c>
      <c r="C49" s="1" t="s">
        <v>32</v>
      </c>
      <c r="D49">
        <v>221</v>
      </c>
      <c r="E49">
        <v>31</v>
      </c>
      <c r="F49">
        <f>Engagement_Summary[[#This Row],[New_Followers]]-Engagement_Summary[[#This Row],[Unfollows]]</f>
        <v>190</v>
      </c>
      <c r="G49">
        <v>87443</v>
      </c>
      <c r="H49" s="10">
        <f>Engagement_Summary[[#This Row],[Growth]]/Engagement_Summary[[#This Row],[Total_Followers]]</f>
        <v>2.1728440241071327E-3</v>
      </c>
      <c r="I49">
        <v>6.19</v>
      </c>
      <c r="J49">
        <v>10283</v>
      </c>
      <c r="K49" t="str">
        <f>IF(AND(A49&gt;=Campaign!$B$2,A49&lt;=Campaign!$C$2),"CybertruckLaunch",IF(AND(A49&gt;=Campaign!$B$3,A49&lt;=Campaign!$C$3),"ModelYcampaign",IF(AND(A49&gt;=Campaign!$B$4,A49&lt;=Campaign!$C$4),"FSDUpdate",IF(AND(A49&gt;=Campaign!$B$5,A49&lt;=Campaign!$C$5),"SustainabilityDrive","No Campaign"))))</f>
        <v>No Campaign</v>
      </c>
    </row>
    <row r="50" spans="1:11" x14ac:dyDescent="0.35">
      <c r="A50" s="2">
        <v>45530</v>
      </c>
      <c r="B50" s="12">
        <f t="shared" si="1"/>
        <v>13</v>
      </c>
      <c r="C50" s="1" t="s">
        <v>29</v>
      </c>
      <c r="D50">
        <v>1685</v>
      </c>
      <c r="E50">
        <v>76</v>
      </c>
      <c r="F50">
        <f>Engagement_Summary[[#This Row],[New_Followers]]-Engagement_Summary[[#This Row],[Unfollows]]</f>
        <v>1609</v>
      </c>
      <c r="G50">
        <v>453799</v>
      </c>
      <c r="H50" s="10">
        <f>Engagement_Summary[[#This Row],[Growth]]/Engagement_Summary[[#This Row],[Total_Followers]]</f>
        <v>3.5456226214689766E-3</v>
      </c>
      <c r="I50">
        <v>5.71</v>
      </c>
      <c r="J50">
        <v>24913</v>
      </c>
      <c r="K50" t="str">
        <f>IF(AND(A50&gt;=Campaign!$B$2,A50&lt;=Campaign!$C$2),"CybertruckLaunch",IF(AND(A50&gt;=Campaign!$B$3,A50&lt;=Campaign!$C$3),"ModelYcampaign",IF(AND(A50&gt;=Campaign!$B$4,A50&lt;=Campaign!$C$4),"FSDUpdate",IF(AND(A50&gt;=Campaign!$B$5,A50&lt;=Campaign!$C$5),"SustainabilityDrive","No Campaign"))))</f>
        <v>No Campaign</v>
      </c>
    </row>
    <row r="51" spans="1:11" x14ac:dyDescent="0.35">
      <c r="A51" s="2">
        <v>45530</v>
      </c>
      <c r="B51" s="12">
        <f t="shared" si="1"/>
        <v>13</v>
      </c>
      <c r="C51" s="1" t="s">
        <v>30</v>
      </c>
      <c r="D51">
        <v>248</v>
      </c>
      <c r="E51">
        <v>211</v>
      </c>
      <c r="F51">
        <f>Engagement_Summary[[#This Row],[New_Followers]]-Engagement_Summary[[#This Row],[Unfollows]]</f>
        <v>37</v>
      </c>
      <c r="G51">
        <v>379380</v>
      </c>
      <c r="H51" s="10">
        <f>Engagement_Summary[[#This Row],[Growth]]/Engagement_Summary[[#This Row],[Total_Followers]]</f>
        <v>9.7527544941747058E-5</v>
      </c>
      <c r="I51">
        <v>9.0399999999999991</v>
      </c>
      <c r="J51">
        <v>26925</v>
      </c>
      <c r="K51" t="str">
        <f>IF(AND(A51&gt;=Campaign!$B$2,A51&lt;=Campaign!$C$2),"CybertruckLaunch",IF(AND(A51&gt;=Campaign!$B$3,A51&lt;=Campaign!$C$3),"ModelYcampaign",IF(AND(A51&gt;=Campaign!$B$4,A51&lt;=Campaign!$C$4),"FSDUpdate",IF(AND(A51&gt;=Campaign!$B$5,A51&lt;=Campaign!$C$5),"SustainabilityDrive","No Campaign"))))</f>
        <v>No Campaign</v>
      </c>
    </row>
    <row r="52" spans="1:11" x14ac:dyDescent="0.35">
      <c r="A52" s="2">
        <v>45530</v>
      </c>
      <c r="B52" s="12">
        <f t="shared" si="1"/>
        <v>13</v>
      </c>
      <c r="C52" s="1" t="s">
        <v>31</v>
      </c>
      <c r="D52">
        <v>1300</v>
      </c>
      <c r="E52">
        <v>71</v>
      </c>
      <c r="F52">
        <f>Engagement_Summary[[#This Row],[New_Followers]]-Engagement_Summary[[#This Row],[Unfollows]]</f>
        <v>1229</v>
      </c>
      <c r="G52">
        <v>186454</v>
      </c>
      <c r="H52" s="10">
        <f>Engagement_Summary[[#This Row],[Growth]]/Engagement_Summary[[#This Row],[Total_Followers]]</f>
        <v>6.5914381026955706E-3</v>
      </c>
      <c r="I52">
        <v>3.91</v>
      </c>
      <c r="J52">
        <v>9942</v>
      </c>
      <c r="K52" t="str">
        <f>IF(AND(A52&gt;=Campaign!$B$2,A52&lt;=Campaign!$C$2),"CybertruckLaunch",IF(AND(A52&gt;=Campaign!$B$3,A52&lt;=Campaign!$C$3),"ModelYcampaign",IF(AND(A52&gt;=Campaign!$B$4,A52&lt;=Campaign!$C$4),"FSDUpdate",IF(AND(A52&gt;=Campaign!$B$5,A52&lt;=Campaign!$C$5),"SustainabilityDrive","No Campaign"))))</f>
        <v>No Campaign</v>
      </c>
    </row>
    <row r="53" spans="1:11" x14ac:dyDescent="0.35">
      <c r="A53" s="2">
        <v>45530</v>
      </c>
      <c r="B53" s="12">
        <f t="shared" si="1"/>
        <v>13</v>
      </c>
      <c r="C53" s="1" t="s">
        <v>32</v>
      </c>
      <c r="D53">
        <v>422</v>
      </c>
      <c r="E53">
        <v>394</v>
      </c>
      <c r="F53">
        <f>Engagement_Summary[[#This Row],[New_Followers]]-Engagement_Summary[[#This Row],[Unfollows]]</f>
        <v>28</v>
      </c>
      <c r="G53">
        <v>239044</v>
      </c>
      <c r="H53" s="10">
        <f>Engagement_Summary[[#This Row],[Growth]]/Engagement_Summary[[#This Row],[Total_Followers]]</f>
        <v>1.1713324743561855E-4</v>
      </c>
      <c r="I53">
        <v>7.83</v>
      </c>
      <c r="J53">
        <v>32929</v>
      </c>
      <c r="K53" t="str">
        <f>IF(AND(A53&gt;=Campaign!$B$2,A53&lt;=Campaign!$C$2),"CybertruckLaunch",IF(AND(A53&gt;=Campaign!$B$3,A53&lt;=Campaign!$C$3),"ModelYcampaign",IF(AND(A53&gt;=Campaign!$B$4,A53&lt;=Campaign!$C$4),"FSDUpdate",IF(AND(A53&gt;=Campaign!$B$5,A53&lt;=Campaign!$C$5),"SustainabilityDrive","No Campaign"))))</f>
        <v>No Campaign</v>
      </c>
    </row>
    <row r="54" spans="1:11" x14ac:dyDescent="0.35">
      <c r="A54" s="2">
        <v>45537</v>
      </c>
      <c r="B54" s="12">
        <f t="shared" si="1"/>
        <v>14</v>
      </c>
      <c r="C54" s="1" t="s">
        <v>29</v>
      </c>
      <c r="D54">
        <v>1429</v>
      </c>
      <c r="E54">
        <v>182</v>
      </c>
      <c r="F54">
        <f>Engagement_Summary[[#This Row],[New_Followers]]-Engagement_Summary[[#This Row],[Unfollows]]</f>
        <v>1247</v>
      </c>
      <c r="G54">
        <v>101332</v>
      </c>
      <c r="H54" s="10">
        <f>Engagement_Summary[[#This Row],[Growth]]/Engagement_Summary[[#This Row],[Total_Followers]]</f>
        <v>1.2306082974775983E-2</v>
      </c>
      <c r="I54">
        <v>7.16</v>
      </c>
      <c r="J54">
        <v>37829</v>
      </c>
      <c r="K54" t="str">
        <f>IF(AND(A54&gt;=Campaign!$B$2,A54&lt;=Campaign!$C$2),"CybertruckLaunch",IF(AND(A54&gt;=Campaign!$B$3,A54&lt;=Campaign!$C$3),"ModelYcampaign",IF(AND(A54&gt;=Campaign!$B$4,A54&lt;=Campaign!$C$4),"FSDUpdate",IF(AND(A54&gt;=Campaign!$B$5,A54&lt;=Campaign!$C$5),"SustainabilityDrive","No Campaign"))))</f>
        <v>No Campaign</v>
      </c>
    </row>
    <row r="55" spans="1:11" x14ac:dyDescent="0.35">
      <c r="A55" s="2">
        <v>45537</v>
      </c>
      <c r="B55" s="12">
        <f t="shared" si="1"/>
        <v>14</v>
      </c>
      <c r="C55" s="1" t="s">
        <v>30</v>
      </c>
      <c r="D55">
        <v>1520</v>
      </c>
      <c r="E55">
        <v>475</v>
      </c>
      <c r="F55">
        <f>Engagement_Summary[[#This Row],[New_Followers]]-Engagement_Summary[[#This Row],[Unfollows]]</f>
        <v>1045</v>
      </c>
      <c r="G55">
        <v>496982</v>
      </c>
      <c r="H55" s="10">
        <f>Engagement_Summary[[#This Row],[Growth]]/Engagement_Summary[[#This Row],[Total_Followers]]</f>
        <v>2.1026918479944948E-3</v>
      </c>
      <c r="I55">
        <v>6.41</v>
      </c>
      <c r="J55">
        <v>24384</v>
      </c>
      <c r="K55" t="str">
        <f>IF(AND(A55&gt;=Campaign!$B$2,A55&lt;=Campaign!$C$2),"CybertruckLaunch",IF(AND(A55&gt;=Campaign!$B$3,A55&lt;=Campaign!$C$3),"ModelYcampaign",IF(AND(A55&gt;=Campaign!$B$4,A55&lt;=Campaign!$C$4),"FSDUpdate",IF(AND(A55&gt;=Campaign!$B$5,A55&lt;=Campaign!$C$5),"SustainabilityDrive","No Campaign"))))</f>
        <v>No Campaign</v>
      </c>
    </row>
    <row r="56" spans="1:11" x14ac:dyDescent="0.35">
      <c r="A56" s="2">
        <v>45537</v>
      </c>
      <c r="B56" s="12">
        <f t="shared" si="1"/>
        <v>14</v>
      </c>
      <c r="C56" s="1" t="s">
        <v>31</v>
      </c>
      <c r="D56">
        <v>557</v>
      </c>
      <c r="E56">
        <v>360</v>
      </c>
      <c r="F56">
        <f>Engagement_Summary[[#This Row],[New_Followers]]-Engagement_Summary[[#This Row],[Unfollows]]</f>
        <v>197</v>
      </c>
      <c r="G56">
        <v>318779</v>
      </c>
      <c r="H56" s="10">
        <f>Engagement_Summary[[#This Row],[Growth]]/Engagement_Summary[[#This Row],[Total_Followers]]</f>
        <v>6.1798299135137512E-4</v>
      </c>
      <c r="I56">
        <v>8.02</v>
      </c>
      <c r="J56">
        <v>25797</v>
      </c>
      <c r="K56" t="str">
        <f>IF(AND(A56&gt;=Campaign!$B$2,A56&lt;=Campaign!$C$2),"CybertruckLaunch",IF(AND(A56&gt;=Campaign!$B$3,A56&lt;=Campaign!$C$3),"ModelYcampaign",IF(AND(A56&gt;=Campaign!$B$4,A56&lt;=Campaign!$C$4),"FSDUpdate",IF(AND(A56&gt;=Campaign!$B$5,A56&lt;=Campaign!$C$5),"SustainabilityDrive","No Campaign"))))</f>
        <v>No Campaign</v>
      </c>
    </row>
    <row r="57" spans="1:11" x14ac:dyDescent="0.35">
      <c r="A57" s="2">
        <v>45537</v>
      </c>
      <c r="B57" s="12">
        <f t="shared" si="1"/>
        <v>14</v>
      </c>
      <c r="C57" s="1" t="s">
        <v>32</v>
      </c>
      <c r="D57">
        <v>728</v>
      </c>
      <c r="E57">
        <v>395</v>
      </c>
      <c r="F57">
        <f>Engagement_Summary[[#This Row],[New_Followers]]-Engagement_Summary[[#This Row],[Unfollows]]</f>
        <v>333</v>
      </c>
      <c r="G57">
        <v>370971</v>
      </c>
      <c r="H57" s="10">
        <f>Engagement_Summary[[#This Row],[Growth]]/Engagement_Summary[[#This Row],[Total_Followers]]</f>
        <v>8.9764429025449434E-4</v>
      </c>
      <c r="I57">
        <v>3.86</v>
      </c>
      <c r="J57">
        <v>12646</v>
      </c>
      <c r="K57" t="str">
        <f>IF(AND(A57&gt;=Campaign!$B$2,A57&lt;=Campaign!$C$2),"CybertruckLaunch",IF(AND(A57&gt;=Campaign!$B$3,A57&lt;=Campaign!$C$3),"ModelYcampaign",IF(AND(A57&gt;=Campaign!$B$4,A57&lt;=Campaign!$C$4),"FSDUpdate",IF(AND(A57&gt;=Campaign!$B$5,A57&lt;=Campaign!$C$5),"SustainabilityDrive","No Campaign"))))</f>
        <v>No Campaign</v>
      </c>
    </row>
    <row r="58" spans="1:11" x14ac:dyDescent="0.35">
      <c r="A58" s="2">
        <v>45544</v>
      </c>
      <c r="B58" s="12">
        <f t="shared" si="1"/>
        <v>15</v>
      </c>
      <c r="C58" s="1" t="s">
        <v>29</v>
      </c>
      <c r="D58">
        <v>1592</v>
      </c>
      <c r="E58">
        <v>20</v>
      </c>
      <c r="F58">
        <f>Engagement_Summary[[#This Row],[New_Followers]]-Engagement_Summary[[#This Row],[Unfollows]]</f>
        <v>1572</v>
      </c>
      <c r="G58">
        <v>378054</v>
      </c>
      <c r="H58" s="10">
        <f>Engagement_Summary[[#This Row],[Growth]]/Engagement_Summary[[#This Row],[Total_Followers]]</f>
        <v>4.1581361392816901E-3</v>
      </c>
      <c r="I58">
        <v>9.09</v>
      </c>
      <c r="J58">
        <v>26663</v>
      </c>
      <c r="K58" t="str">
        <f>IF(AND(A58&gt;=Campaign!$B$2,A58&lt;=Campaign!$C$2),"CybertruckLaunch",IF(AND(A58&gt;=Campaign!$B$3,A58&lt;=Campaign!$C$3),"ModelYcampaign",IF(AND(A58&gt;=Campaign!$B$4,A58&lt;=Campaign!$C$4),"FSDUpdate",IF(AND(A58&gt;=Campaign!$B$5,A58&lt;=Campaign!$C$5),"SustainabilityDrive","No Campaign"))))</f>
        <v>No Campaign</v>
      </c>
    </row>
    <row r="59" spans="1:11" x14ac:dyDescent="0.35">
      <c r="A59" s="2">
        <v>45544</v>
      </c>
      <c r="B59" s="12">
        <f t="shared" si="1"/>
        <v>15</v>
      </c>
      <c r="C59" s="1" t="s">
        <v>30</v>
      </c>
      <c r="D59">
        <v>1842</v>
      </c>
      <c r="E59">
        <v>414</v>
      </c>
      <c r="F59">
        <f>Engagement_Summary[[#This Row],[New_Followers]]-Engagement_Summary[[#This Row],[Unfollows]]</f>
        <v>1428</v>
      </c>
      <c r="G59">
        <v>307524</v>
      </c>
      <c r="H59" s="10">
        <f>Engagement_Summary[[#This Row],[Growth]]/Engagement_Summary[[#This Row],[Total_Followers]]</f>
        <v>4.6435400163889647E-3</v>
      </c>
      <c r="I59">
        <v>1.76</v>
      </c>
      <c r="J59">
        <v>40478</v>
      </c>
      <c r="K59" t="str">
        <f>IF(AND(A59&gt;=Campaign!$B$2,A59&lt;=Campaign!$C$2),"CybertruckLaunch",IF(AND(A59&gt;=Campaign!$B$3,A59&lt;=Campaign!$C$3),"ModelYcampaign",IF(AND(A59&gt;=Campaign!$B$4,A59&lt;=Campaign!$C$4),"FSDUpdate",IF(AND(A59&gt;=Campaign!$B$5,A59&lt;=Campaign!$C$5),"SustainabilityDrive","No Campaign"))))</f>
        <v>No Campaign</v>
      </c>
    </row>
    <row r="60" spans="1:11" x14ac:dyDescent="0.35">
      <c r="A60" s="2">
        <v>45544</v>
      </c>
      <c r="B60" s="12">
        <f t="shared" si="1"/>
        <v>15</v>
      </c>
      <c r="C60" s="1" t="s">
        <v>31</v>
      </c>
      <c r="D60">
        <v>751</v>
      </c>
      <c r="E60">
        <v>491</v>
      </c>
      <c r="F60">
        <f>Engagement_Summary[[#This Row],[New_Followers]]-Engagement_Summary[[#This Row],[Unfollows]]</f>
        <v>260</v>
      </c>
      <c r="G60">
        <v>434047</v>
      </c>
      <c r="H60" s="10">
        <f>Engagement_Summary[[#This Row],[Growth]]/Engagement_Summary[[#This Row],[Total_Followers]]</f>
        <v>5.990134708914012E-4</v>
      </c>
      <c r="I60">
        <v>9.24</v>
      </c>
      <c r="J60">
        <v>15476</v>
      </c>
      <c r="K60" t="str">
        <f>IF(AND(A60&gt;=Campaign!$B$2,A60&lt;=Campaign!$C$2),"CybertruckLaunch",IF(AND(A60&gt;=Campaign!$B$3,A60&lt;=Campaign!$C$3),"ModelYcampaign",IF(AND(A60&gt;=Campaign!$B$4,A60&lt;=Campaign!$C$4),"FSDUpdate",IF(AND(A60&gt;=Campaign!$B$5,A60&lt;=Campaign!$C$5),"SustainabilityDrive","No Campaign"))))</f>
        <v>No Campaign</v>
      </c>
    </row>
    <row r="61" spans="1:11" x14ac:dyDescent="0.35">
      <c r="A61" s="2">
        <v>45544</v>
      </c>
      <c r="B61" s="12">
        <f t="shared" si="1"/>
        <v>15</v>
      </c>
      <c r="C61" s="1" t="s">
        <v>32</v>
      </c>
      <c r="D61">
        <v>1409</v>
      </c>
      <c r="E61">
        <v>309</v>
      </c>
      <c r="F61">
        <f>Engagement_Summary[[#This Row],[New_Followers]]-Engagement_Summary[[#This Row],[Unfollows]]</f>
        <v>1100</v>
      </c>
      <c r="G61">
        <v>64583</v>
      </c>
      <c r="H61" s="10">
        <f>Engagement_Summary[[#This Row],[Growth]]/Engagement_Summary[[#This Row],[Total_Followers]]</f>
        <v>1.7032345973398571E-2</v>
      </c>
      <c r="I61">
        <v>8.99</v>
      </c>
      <c r="J61">
        <v>10217</v>
      </c>
      <c r="K61" t="str">
        <f>IF(AND(A61&gt;=Campaign!$B$2,A61&lt;=Campaign!$C$2),"CybertruckLaunch",IF(AND(A61&gt;=Campaign!$B$3,A61&lt;=Campaign!$C$3),"ModelYcampaign",IF(AND(A61&gt;=Campaign!$B$4,A61&lt;=Campaign!$C$4),"FSDUpdate",IF(AND(A61&gt;=Campaign!$B$5,A61&lt;=Campaign!$C$5),"SustainabilityDrive","No Campaign"))))</f>
        <v>No Campaign</v>
      </c>
    </row>
    <row r="62" spans="1:11" x14ac:dyDescent="0.35">
      <c r="A62" s="2">
        <v>45551</v>
      </c>
      <c r="B62" s="12">
        <f t="shared" si="1"/>
        <v>16</v>
      </c>
      <c r="C62" s="1" t="s">
        <v>29</v>
      </c>
      <c r="D62">
        <v>778</v>
      </c>
      <c r="E62">
        <v>401</v>
      </c>
      <c r="F62">
        <f>Engagement_Summary[[#This Row],[New_Followers]]-Engagement_Summary[[#This Row],[Unfollows]]</f>
        <v>377</v>
      </c>
      <c r="G62">
        <v>50793</v>
      </c>
      <c r="H62" s="10">
        <f>Engagement_Summary[[#This Row],[Growth]]/Engagement_Summary[[#This Row],[Total_Followers]]</f>
        <v>7.4222825979957871E-3</v>
      </c>
      <c r="I62">
        <v>3.4</v>
      </c>
      <c r="J62">
        <v>21939</v>
      </c>
      <c r="K62" t="str">
        <f>IF(AND(A62&gt;=Campaign!$B$2,A62&lt;=Campaign!$C$2),"CybertruckLaunch",IF(AND(A62&gt;=Campaign!$B$3,A62&lt;=Campaign!$C$3),"ModelYcampaign",IF(AND(A62&gt;=Campaign!$B$4,A62&lt;=Campaign!$C$4),"FSDUpdate",IF(AND(A62&gt;=Campaign!$B$5,A62&lt;=Campaign!$C$5),"SustainabilityDrive","No Campaign"))))</f>
        <v>No Campaign</v>
      </c>
    </row>
    <row r="63" spans="1:11" x14ac:dyDescent="0.35">
      <c r="A63" s="2">
        <v>45551</v>
      </c>
      <c r="B63" s="12">
        <f t="shared" si="1"/>
        <v>16</v>
      </c>
      <c r="C63" s="1" t="s">
        <v>30</v>
      </c>
      <c r="D63">
        <v>443</v>
      </c>
      <c r="E63">
        <v>345</v>
      </c>
      <c r="F63">
        <f>Engagement_Summary[[#This Row],[New_Followers]]-Engagement_Summary[[#This Row],[Unfollows]]</f>
        <v>98</v>
      </c>
      <c r="G63">
        <v>474162</v>
      </c>
      <c r="H63" s="10">
        <f>Engagement_Summary[[#This Row],[Growth]]/Engagement_Summary[[#This Row],[Total_Followers]]</f>
        <v>2.0668041724136477E-4</v>
      </c>
      <c r="I63">
        <v>9.1999999999999993</v>
      </c>
      <c r="J63">
        <v>47462</v>
      </c>
      <c r="K63" t="str">
        <f>IF(AND(A63&gt;=Campaign!$B$2,A63&lt;=Campaign!$C$2),"CybertruckLaunch",IF(AND(A63&gt;=Campaign!$B$3,A63&lt;=Campaign!$C$3),"ModelYcampaign",IF(AND(A63&gt;=Campaign!$B$4,A63&lt;=Campaign!$C$4),"FSDUpdate",IF(AND(A63&gt;=Campaign!$B$5,A63&lt;=Campaign!$C$5),"SustainabilityDrive","No Campaign"))))</f>
        <v>No Campaign</v>
      </c>
    </row>
    <row r="64" spans="1:11" x14ac:dyDescent="0.35">
      <c r="A64" s="2">
        <v>45551</v>
      </c>
      <c r="B64" s="12">
        <f t="shared" si="1"/>
        <v>16</v>
      </c>
      <c r="C64" s="1" t="s">
        <v>31</v>
      </c>
      <c r="D64">
        <v>1472</v>
      </c>
      <c r="E64">
        <v>347</v>
      </c>
      <c r="F64">
        <f>Engagement_Summary[[#This Row],[New_Followers]]-Engagement_Summary[[#This Row],[Unfollows]]</f>
        <v>1125</v>
      </c>
      <c r="G64">
        <v>392355</v>
      </c>
      <c r="H64" s="10">
        <f>Engagement_Summary[[#This Row],[Growth]]/Engagement_Summary[[#This Row],[Total_Followers]]</f>
        <v>2.8673012960201858E-3</v>
      </c>
      <c r="I64">
        <v>8.59</v>
      </c>
      <c r="J64">
        <v>30270</v>
      </c>
      <c r="K64" t="str">
        <f>IF(AND(A64&gt;=Campaign!$B$2,A64&lt;=Campaign!$C$2),"CybertruckLaunch",IF(AND(A64&gt;=Campaign!$B$3,A64&lt;=Campaign!$C$3),"ModelYcampaign",IF(AND(A64&gt;=Campaign!$B$4,A64&lt;=Campaign!$C$4),"FSDUpdate",IF(AND(A64&gt;=Campaign!$B$5,A64&lt;=Campaign!$C$5),"SustainabilityDrive","No Campaign"))))</f>
        <v>No Campaign</v>
      </c>
    </row>
    <row r="65" spans="1:11" x14ac:dyDescent="0.35">
      <c r="A65" s="2">
        <v>45551</v>
      </c>
      <c r="B65" s="12">
        <f t="shared" si="1"/>
        <v>16</v>
      </c>
      <c r="C65" s="1" t="s">
        <v>32</v>
      </c>
      <c r="D65">
        <v>123</v>
      </c>
      <c r="E65">
        <v>155</v>
      </c>
      <c r="F65">
        <f>Engagement_Summary[[#This Row],[New_Followers]]-Engagement_Summary[[#This Row],[Unfollows]]</f>
        <v>-32</v>
      </c>
      <c r="G65">
        <v>119934</v>
      </c>
      <c r="H65" s="10">
        <f>Engagement_Summary[[#This Row],[Growth]]/Engagement_Summary[[#This Row],[Total_Followers]]</f>
        <v>-2.6681341404439108E-4</v>
      </c>
      <c r="I65">
        <v>3.5</v>
      </c>
      <c r="J65">
        <v>5442</v>
      </c>
      <c r="K65" t="str">
        <f>IF(AND(A65&gt;=Campaign!$B$2,A65&lt;=Campaign!$C$2),"CybertruckLaunch",IF(AND(A65&gt;=Campaign!$B$3,A65&lt;=Campaign!$C$3),"ModelYcampaign",IF(AND(A65&gt;=Campaign!$B$4,A65&lt;=Campaign!$C$4),"FSDUpdate",IF(AND(A65&gt;=Campaign!$B$5,A65&lt;=Campaign!$C$5),"SustainabilityDrive","No Campaign"))))</f>
        <v>No Campaign</v>
      </c>
    </row>
    <row r="66" spans="1:11" x14ac:dyDescent="0.35">
      <c r="A66" s="2">
        <v>45558</v>
      </c>
      <c r="B66" s="12">
        <f t="shared" ref="B66:B97" si="2">MATCH(A66,_xlfn.UNIQUE($A$2:$A$200),0)</f>
        <v>17</v>
      </c>
      <c r="C66" s="1" t="s">
        <v>29</v>
      </c>
      <c r="D66">
        <v>817</v>
      </c>
      <c r="E66">
        <v>151</v>
      </c>
      <c r="F66">
        <f>Engagement_Summary[[#This Row],[New_Followers]]-Engagement_Summary[[#This Row],[Unfollows]]</f>
        <v>666</v>
      </c>
      <c r="G66">
        <v>422625</v>
      </c>
      <c r="H66" s="10">
        <f>Engagement_Summary[[#This Row],[Growth]]/Engagement_Summary[[#This Row],[Total_Followers]]</f>
        <v>1.5758651286601596E-3</v>
      </c>
      <c r="I66">
        <v>2.36</v>
      </c>
      <c r="J66">
        <v>1083</v>
      </c>
      <c r="K66" t="str">
        <f>IF(AND(A66&gt;=Campaign!$B$2,A66&lt;=Campaign!$C$2),"CybertruckLaunch",IF(AND(A66&gt;=Campaign!$B$3,A66&lt;=Campaign!$C$3),"ModelYcampaign",IF(AND(A66&gt;=Campaign!$B$4,A66&lt;=Campaign!$C$4),"FSDUpdate",IF(AND(A66&gt;=Campaign!$B$5,A66&lt;=Campaign!$C$5),"SustainabilityDrive","No Campaign"))))</f>
        <v>No Campaign</v>
      </c>
    </row>
    <row r="67" spans="1:11" x14ac:dyDescent="0.35">
      <c r="A67" s="2">
        <v>45558</v>
      </c>
      <c r="B67" s="12">
        <f t="shared" si="2"/>
        <v>17</v>
      </c>
      <c r="C67" s="1" t="s">
        <v>30</v>
      </c>
      <c r="D67">
        <v>198</v>
      </c>
      <c r="E67">
        <v>217</v>
      </c>
      <c r="F67">
        <f>Engagement_Summary[[#This Row],[New_Followers]]-Engagement_Summary[[#This Row],[Unfollows]]</f>
        <v>-19</v>
      </c>
      <c r="G67">
        <v>239753</v>
      </c>
      <c r="H67" s="10">
        <f>Engagement_Summary[[#This Row],[Growth]]/Engagement_Summary[[#This Row],[Total_Followers]]</f>
        <v>-7.9248226299566635E-5</v>
      </c>
      <c r="I67">
        <v>7.36</v>
      </c>
      <c r="J67">
        <v>11901</v>
      </c>
      <c r="K67" t="str">
        <f>IF(AND(A67&gt;=Campaign!$B$2,A67&lt;=Campaign!$C$2),"CybertruckLaunch",IF(AND(A67&gt;=Campaign!$B$3,A67&lt;=Campaign!$C$3),"ModelYcampaign",IF(AND(A67&gt;=Campaign!$B$4,A67&lt;=Campaign!$C$4),"FSDUpdate",IF(AND(A67&gt;=Campaign!$B$5,A67&lt;=Campaign!$C$5),"SustainabilityDrive","No Campaign"))))</f>
        <v>No Campaign</v>
      </c>
    </row>
    <row r="68" spans="1:11" x14ac:dyDescent="0.35">
      <c r="A68" s="2">
        <v>45558</v>
      </c>
      <c r="B68" s="12">
        <f t="shared" si="2"/>
        <v>17</v>
      </c>
      <c r="C68" s="1" t="s">
        <v>31</v>
      </c>
      <c r="D68">
        <v>1911</v>
      </c>
      <c r="E68">
        <v>231</v>
      </c>
      <c r="F68">
        <f>Engagement_Summary[[#This Row],[New_Followers]]-Engagement_Summary[[#This Row],[Unfollows]]</f>
        <v>1680</v>
      </c>
      <c r="G68">
        <v>268516</v>
      </c>
      <c r="H68" s="10">
        <f>Engagement_Summary[[#This Row],[Growth]]/Engagement_Summary[[#This Row],[Total_Followers]]</f>
        <v>6.2566104068286429E-3</v>
      </c>
      <c r="I68">
        <v>8.5500000000000007</v>
      </c>
      <c r="J68">
        <v>24018</v>
      </c>
      <c r="K68" t="str">
        <f>IF(AND(A68&gt;=Campaign!$B$2,A68&lt;=Campaign!$C$2),"CybertruckLaunch",IF(AND(A68&gt;=Campaign!$B$3,A68&lt;=Campaign!$C$3),"ModelYcampaign",IF(AND(A68&gt;=Campaign!$B$4,A68&lt;=Campaign!$C$4),"FSDUpdate",IF(AND(A68&gt;=Campaign!$B$5,A68&lt;=Campaign!$C$5),"SustainabilityDrive","No Campaign"))))</f>
        <v>No Campaign</v>
      </c>
    </row>
    <row r="69" spans="1:11" x14ac:dyDescent="0.35">
      <c r="A69" s="2">
        <v>45558</v>
      </c>
      <c r="B69" s="12">
        <f t="shared" si="2"/>
        <v>17</v>
      </c>
      <c r="C69" s="1" t="s">
        <v>32</v>
      </c>
      <c r="D69">
        <v>1218</v>
      </c>
      <c r="E69">
        <v>212</v>
      </c>
      <c r="F69">
        <f>Engagement_Summary[[#This Row],[New_Followers]]-Engagement_Summary[[#This Row],[Unfollows]]</f>
        <v>1006</v>
      </c>
      <c r="G69">
        <v>63177</v>
      </c>
      <c r="H69" s="10">
        <f>Engagement_Summary[[#This Row],[Growth]]/Engagement_Summary[[#This Row],[Total_Followers]]</f>
        <v>1.592351646960128E-2</v>
      </c>
      <c r="I69">
        <v>8.1300000000000008</v>
      </c>
      <c r="J69">
        <v>38883</v>
      </c>
      <c r="K69" t="str">
        <f>IF(AND(A69&gt;=Campaign!$B$2,A69&lt;=Campaign!$C$2),"CybertruckLaunch",IF(AND(A69&gt;=Campaign!$B$3,A69&lt;=Campaign!$C$3),"ModelYcampaign",IF(AND(A69&gt;=Campaign!$B$4,A69&lt;=Campaign!$C$4),"FSDUpdate",IF(AND(A69&gt;=Campaign!$B$5,A69&lt;=Campaign!$C$5),"SustainabilityDrive","No Campaign"))))</f>
        <v>No Campaign</v>
      </c>
    </row>
    <row r="70" spans="1:11" x14ac:dyDescent="0.35">
      <c r="A70" s="2">
        <v>45565</v>
      </c>
      <c r="B70" s="12">
        <f t="shared" si="2"/>
        <v>18</v>
      </c>
      <c r="C70" s="1" t="s">
        <v>29</v>
      </c>
      <c r="D70">
        <v>1433</v>
      </c>
      <c r="E70">
        <v>408</v>
      </c>
      <c r="F70">
        <f>Engagement_Summary[[#This Row],[New_Followers]]-Engagement_Summary[[#This Row],[Unfollows]]</f>
        <v>1025</v>
      </c>
      <c r="G70">
        <v>370269</v>
      </c>
      <c r="H70" s="10">
        <f>Engagement_Summary[[#This Row],[Growth]]/Engagement_Summary[[#This Row],[Total_Followers]]</f>
        <v>2.7682576721248606E-3</v>
      </c>
      <c r="I70">
        <v>3.3</v>
      </c>
      <c r="J70">
        <v>30575</v>
      </c>
      <c r="K70" t="str">
        <f>IF(AND(A70&gt;=Campaign!$B$2,A70&lt;=Campaign!$C$2),"CybertruckLaunch",IF(AND(A70&gt;=Campaign!$B$3,A70&lt;=Campaign!$C$3),"ModelYcampaign",IF(AND(A70&gt;=Campaign!$B$4,A70&lt;=Campaign!$C$4),"FSDUpdate",IF(AND(A70&gt;=Campaign!$B$5,A70&lt;=Campaign!$C$5),"SustainabilityDrive","No Campaign"))))</f>
        <v>No Campaign</v>
      </c>
    </row>
    <row r="71" spans="1:11" x14ac:dyDescent="0.35">
      <c r="A71" s="2">
        <v>45565</v>
      </c>
      <c r="B71" s="12">
        <f t="shared" si="2"/>
        <v>18</v>
      </c>
      <c r="C71" s="1" t="s">
        <v>30</v>
      </c>
      <c r="D71">
        <v>250</v>
      </c>
      <c r="E71">
        <v>429</v>
      </c>
      <c r="F71">
        <f>Engagement_Summary[[#This Row],[New_Followers]]-Engagement_Summary[[#This Row],[Unfollows]]</f>
        <v>-179</v>
      </c>
      <c r="G71">
        <v>453423</v>
      </c>
      <c r="H71" s="10">
        <f>Engagement_Summary[[#This Row],[Growth]]/Engagement_Summary[[#This Row],[Total_Followers]]</f>
        <v>-3.9477485703195471E-4</v>
      </c>
      <c r="I71">
        <v>1.77</v>
      </c>
      <c r="J71">
        <v>2315</v>
      </c>
      <c r="K71" t="str">
        <f>IF(AND(A71&gt;=Campaign!$B$2,A71&lt;=Campaign!$C$2),"CybertruckLaunch",IF(AND(A71&gt;=Campaign!$B$3,A71&lt;=Campaign!$C$3),"ModelYcampaign",IF(AND(A71&gt;=Campaign!$B$4,A71&lt;=Campaign!$C$4),"FSDUpdate",IF(AND(A71&gt;=Campaign!$B$5,A71&lt;=Campaign!$C$5),"SustainabilityDrive","No Campaign"))))</f>
        <v>No Campaign</v>
      </c>
    </row>
    <row r="72" spans="1:11" x14ac:dyDescent="0.35">
      <c r="A72" s="2">
        <v>45565</v>
      </c>
      <c r="B72" s="12">
        <f t="shared" si="2"/>
        <v>18</v>
      </c>
      <c r="C72" s="1" t="s">
        <v>31</v>
      </c>
      <c r="D72">
        <v>752</v>
      </c>
      <c r="E72">
        <v>153</v>
      </c>
      <c r="F72">
        <f>Engagement_Summary[[#This Row],[New_Followers]]-Engagement_Summary[[#This Row],[Unfollows]]</f>
        <v>599</v>
      </c>
      <c r="G72">
        <v>64906</v>
      </c>
      <c r="H72" s="10">
        <f>Engagement_Summary[[#This Row],[Growth]]/Engagement_Summary[[#This Row],[Total_Followers]]</f>
        <v>9.2287307798970819E-3</v>
      </c>
      <c r="I72">
        <v>2.09</v>
      </c>
      <c r="J72">
        <v>12148</v>
      </c>
      <c r="K72" t="str">
        <f>IF(AND(A72&gt;=Campaign!$B$2,A72&lt;=Campaign!$C$2),"CybertruckLaunch",IF(AND(A72&gt;=Campaign!$B$3,A72&lt;=Campaign!$C$3),"ModelYcampaign",IF(AND(A72&gt;=Campaign!$B$4,A72&lt;=Campaign!$C$4),"FSDUpdate",IF(AND(A72&gt;=Campaign!$B$5,A72&lt;=Campaign!$C$5),"SustainabilityDrive","No Campaign"))))</f>
        <v>No Campaign</v>
      </c>
    </row>
    <row r="73" spans="1:11" x14ac:dyDescent="0.35">
      <c r="A73" s="2">
        <v>45565</v>
      </c>
      <c r="B73" s="12">
        <f t="shared" si="2"/>
        <v>18</v>
      </c>
      <c r="C73" s="1" t="s">
        <v>32</v>
      </c>
      <c r="D73">
        <v>1918</v>
      </c>
      <c r="E73">
        <v>212</v>
      </c>
      <c r="F73">
        <f>Engagement_Summary[[#This Row],[New_Followers]]-Engagement_Summary[[#This Row],[Unfollows]]</f>
        <v>1706</v>
      </c>
      <c r="G73">
        <v>94360</v>
      </c>
      <c r="H73" s="10">
        <f>Engagement_Summary[[#This Row],[Growth]]/Engagement_Summary[[#This Row],[Total_Followers]]</f>
        <v>1.8079694785926241E-2</v>
      </c>
      <c r="I73">
        <v>7.36</v>
      </c>
      <c r="J73">
        <v>36851</v>
      </c>
      <c r="K73" t="str">
        <f>IF(AND(A73&gt;=Campaign!$B$2,A73&lt;=Campaign!$C$2),"CybertruckLaunch",IF(AND(A73&gt;=Campaign!$B$3,A73&lt;=Campaign!$C$3),"ModelYcampaign",IF(AND(A73&gt;=Campaign!$B$4,A73&lt;=Campaign!$C$4),"FSDUpdate",IF(AND(A73&gt;=Campaign!$B$5,A73&lt;=Campaign!$C$5),"SustainabilityDrive","No Campaign"))))</f>
        <v>No Campaign</v>
      </c>
    </row>
    <row r="74" spans="1:11" x14ac:dyDescent="0.35">
      <c r="A74" s="2">
        <v>45572</v>
      </c>
      <c r="B74" s="12">
        <f t="shared" si="2"/>
        <v>19</v>
      </c>
      <c r="C74" s="1" t="s">
        <v>29</v>
      </c>
      <c r="D74">
        <v>1939</v>
      </c>
      <c r="E74">
        <v>67</v>
      </c>
      <c r="F74">
        <f>Engagement_Summary[[#This Row],[New_Followers]]-Engagement_Summary[[#This Row],[Unfollows]]</f>
        <v>1872</v>
      </c>
      <c r="G74">
        <v>187183</v>
      </c>
      <c r="H74" s="10">
        <f>Engagement_Summary[[#This Row],[Growth]]/Engagement_Summary[[#This Row],[Total_Followers]]</f>
        <v>1.0000908202133741E-2</v>
      </c>
      <c r="I74">
        <v>6.25</v>
      </c>
      <c r="J74">
        <v>41215</v>
      </c>
      <c r="K74" t="str">
        <f>IF(AND(A74&gt;=Campaign!$B$2,A74&lt;=Campaign!$C$2),"CybertruckLaunch",IF(AND(A74&gt;=Campaign!$B$3,A74&lt;=Campaign!$C$3),"ModelYcampaign",IF(AND(A74&gt;=Campaign!$B$4,A74&lt;=Campaign!$C$4),"FSDUpdate",IF(AND(A74&gt;=Campaign!$B$5,A74&lt;=Campaign!$C$5),"SustainabilityDrive","No Campaign"))))</f>
        <v>ModelYcampaign</v>
      </c>
    </row>
    <row r="75" spans="1:11" x14ac:dyDescent="0.35">
      <c r="A75" s="2">
        <v>45572</v>
      </c>
      <c r="B75" s="12">
        <f t="shared" si="2"/>
        <v>19</v>
      </c>
      <c r="C75" s="1" t="s">
        <v>30</v>
      </c>
      <c r="D75">
        <v>1929</v>
      </c>
      <c r="E75">
        <v>267</v>
      </c>
      <c r="F75">
        <f>Engagement_Summary[[#This Row],[New_Followers]]-Engagement_Summary[[#This Row],[Unfollows]]</f>
        <v>1662</v>
      </c>
      <c r="G75">
        <v>379363</v>
      </c>
      <c r="H75" s="10">
        <f>Engagement_Summary[[#This Row],[Growth]]/Engagement_Summary[[#This Row],[Total_Followers]]</f>
        <v>4.3810281972675247E-3</v>
      </c>
      <c r="I75">
        <v>1.75</v>
      </c>
      <c r="J75">
        <v>43836</v>
      </c>
      <c r="K75" t="str">
        <f>IF(AND(A75&gt;=Campaign!$B$2,A75&lt;=Campaign!$C$2),"CybertruckLaunch",IF(AND(A75&gt;=Campaign!$B$3,A75&lt;=Campaign!$C$3),"ModelYcampaign",IF(AND(A75&gt;=Campaign!$B$4,A75&lt;=Campaign!$C$4),"FSDUpdate",IF(AND(A75&gt;=Campaign!$B$5,A75&lt;=Campaign!$C$5),"SustainabilityDrive","No Campaign"))))</f>
        <v>ModelYcampaign</v>
      </c>
    </row>
    <row r="76" spans="1:11" x14ac:dyDescent="0.35">
      <c r="A76" s="2">
        <v>45572</v>
      </c>
      <c r="B76" s="12">
        <f t="shared" si="2"/>
        <v>19</v>
      </c>
      <c r="C76" s="1" t="s">
        <v>31</v>
      </c>
      <c r="D76">
        <v>437</v>
      </c>
      <c r="E76">
        <v>330</v>
      </c>
      <c r="F76">
        <f>Engagement_Summary[[#This Row],[New_Followers]]-Engagement_Summary[[#This Row],[Unfollows]]</f>
        <v>107</v>
      </c>
      <c r="G76">
        <v>476486</v>
      </c>
      <c r="H76" s="10">
        <f>Engagement_Summary[[#This Row],[Growth]]/Engagement_Summary[[#This Row],[Total_Followers]]</f>
        <v>2.2456063766826309E-4</v>
      </c>
      <c r="I76">
        <v>4.97</v>
      </c>
      <c r="J76">
        <v>4509</v>
      </c>
      <c r="K76" t="str">
        <f>IF(AND(A76&gt;=Campaign!$B$2,A76&lt;=Campaign!$C$2),"CybertruckLaunch",IF(AND(A76&gt;=Campaign!$B$3,A76&lt;=Campaign!$C$3),"ModelYcampaign",IF(AND(A76&gt;=Campaign!$B$4,A76&lt;=Campaign!$C$4),"FSDUpdate",IF(AND(A76&gt;=Campaign!$B$5,A76&lt;=Campaign!$C$5),"SustainabilityDrive","No Campaign"))))</f>
        <v>ModelYcampaign</v>
      </c>
    </row>
    <row r="77" spans="1:11" x14ac:dyDescent="0.35">
      <c r="A77" s="2">
        <v>45572</v>
      </c>
      <c r="B77" s="12">
        <f t="shared" si="2"/>
        <v>19</v>
      </c>
      <c r="C77" s="1" t="s">
        <v>32</v>
      </c>
      <c r="D77">
        <v>307</v>
      </c>
      <c r="E77">
        <v>189</v>
      </c>
      <c r="F77">
        <f>Engagement_Summary[[#This Row],[New_Followers]]-Engagement_Summary[[#This Row],[Unfollows]]</f>
        <v>118</v>
      </c>
      <c r="G77">
        <v>117767</v>
      </c>
      <c r="H77" s="10">
        <f>Engagement_Summary[[#This Row],[Growth]]/Engagement_Summary[[#This Row],[Total_Followers]]</f>
        <v>1.0019784829366461E-3</v>
      </c>
      <c r="I77">
        <v>9.3000000000000007</v>
      </c>
      <c r="J77">
        <v>27822</v>
      </c>
      <c r="K77" t="str">
        <f>IF(AND(A77&gt;=Campaign!$B$2,A77&lt;=Campaign!$C$2),"CybertruckLaunch",IF(AND(A77&gt;=Campaign!$B$3,A77&lt;=Campaign!$C$3),"ModelYcampaign",IF(AND(A77&gt;=Campaign!$B$4,A77&lt;=Campaign!$C$4),"FSDUpdate",IF(AND(A77&gt;=Campaign!$B$5,A77&lt;=Campaign!$C$5),"SustainabilityDrive","No Campaign"))))</f>
        <v>ModelYcampaign</v>
      </c>
    </row>
    <row r="78" spans="1:11" x14ac:dyDescent="0.35">
      <c r="A78" s="2">
        <v>45579</v>
      </c>
      <c r="B78" s="12">
        <f t="shared" si="2"/>
        <v>20</v>
      </c>
      <c r="C78" s="1" t="s">
        <v>29</v>
      </c>
      <c r="D78">
        <v>1527</v>
      </c>
      <c r="E78">
        <v>303</v>
      </c>
      <c r="F78">
        <f>Engagement_Summary[[#This Row],[New_Followers]]-Engagement_Summary[[#This Row],[Unfollows]]</f>
        <v>1224</v>
      </c>
      <c r="G78">
        <v>388555</v>
      </c>
      <c r="H78" s="10">
        <f>Engagement_Summary[[#This Row],[Growth]]/Engagement_Summary[[#This Row],[Total_Followers]]</f>
        <v>3.1501331857780751E-3</v>
      </c>
      <c r="I78">
        <v>8.9</v>
      </c>
      <c r="J78">
        <v>36397</v>
      </c>
      <c r="K78" t="str">
        <f>IF(AND(A78&gt;=Campaign!$B$2,A78&lt;=Campaign!$C$2),"CybertruckLaunch",IF(AND(A78&gt;=Campaign!$B$3,A78&lt;=Campaign!$C$3),"ModelYcampaign",IF(AND(A78&gt;=Campaign!$B$4,A78&lt;=Campaign!$C$4),"FSDUpdate",IF(AND(A78&gt;=Campaign!$B$5,A78&lt;=Campaign!$C$5),"SustainabilityDrive","No Campaign"))))</f>
        <v>ModelYcampaign</v>
      </c>
    </row>
    <row r="79" spans="1:11" x14ac:dyDescent="0.35">
      <c r="A79" s="2">
        <v>45579</v>
      </c>
      <c r="B79" s="12">
        <f t="shared" si="2"/>
        <v>20</v>
      </c>
      <c r="C79" s="1" t="s">
        <v>30</v>
      </c>
      <c r="D79">
        <v>643</v>
      </c>
      <c r="E79">
        <v>358</v>
      </c>
      <c r="F79">
        <f>Engagement_Summary[[#This Row],[New_Followers]]-Engagement_Summary[[#This Row],[Unfollows]]</f>
        <v>285</v>
      </c>
      <c r="G79">
        <v>157599</v>
      </c>
      <c r="H79" s="10">
        <f>Engagement_Summary[[#This Row],[Growth]]/Engagement_Summary[[#This Row],[Total_Followers]]</f>
        <v>1.8083871090552605E-3</v>
      </c>
      <c r="I79">
        <v>3.88</v>
      </c>
      <c r="J79">
        <v>7285</v>
      </c>
      <c r="K79" t="str">
        <f>IF(AND(A79&gt;=Campaign!$B$2,A79&lt;=Campaign!$C$2),"CybertruckLaunch",IF(AND(A79&gt;=Campaign!$B$3,A79&lt;=Campaign!$C$3),"ModelYcampaign",IF(AND(A79&gt;=Campaign!$B$4,A79&lt;=Campaign!$C$4),"FSDUpdate",IF(AND(A79&gt;=Campaign!$B$5,A79&lt;=Campaign!$C$5),"SustainabilityDrive","No Campaign"))))</f>
        <v>ModelYcampaign</v>
      </c>
    </row>
    <row r="80" spans="1:11" x14ac:dyDescent="0.35">
      <c r="A80" s="2">
        <v>45579</v>
      </c>
      <c r="B80" s="12">
        <f t="shared" si="2"/>
        <v>20</v>
      </c>
      <c r="C80" s="1" t="s">
        <v>31</v>
      </c>
      <c r="D80">
        <v>201</v>
      </c>
      <c r="E80">
        <v>221</v>
      </c>
      <c r="F80">
        <f>Engagement_Summary[[#This Row],[New_Followers]]-Engagement_Summary[[#This Row],[Unfollows]]</f>
        <v>-20</v>
      </c>
      <c r="G80">
        <v>309772</v>
      </c>
      <c r="H80" s="10">
        <f>Engagement_Summary[[#This Row],[Growth]]/Engagement_Summary[[#This Row],[Total_Followers]]</f>
        <v>-6.456361452939582E-5</v>
      </c>
      <c r="I80">
        <v>5.9</v>
      </c>
      <c r="J80">
        <v>33174</v>
      </c>
      <c r="K80" t="str">
        <f>IF(AND(A80&gt;=Campaign!$B$2,A80&lt;=Campaign!$C$2),"CybertruckLaunch",IF(AND(A80&gt;=Campaign!$B$3,A80&lt;=Campaign!$C$3),"ModelYcampaign",IF(AND(A80&gt;=Campaign!$B$4,A80&lt;=Campaign!$C$4),"FSDUpdate",IF(AND(A80&gt;=Campaign!$B$5,A80&lt;=Campaign!$C$5),"SustainabilityDrive","No Campaign"))))</f>
        <v>ModelYcampaign</v>
      </c>
    </row>
    <row r="81" spans="1:11" x14ac:dyDescent="0.35">
      <c r="A81" s="2">
        <v>45579</v>
      </c>
      <c r="B81" s="12">
        <f t="shared" si="2"/>
        <v>20</v>
      </c>
      <c r="C81" s="1" t="s">
        <v>32</v>
      </c>
      <c r="D81">
        <v>414</v>
      </c>
      <c r="E81">
        <v>47</v>
      </c>
      <c r="F81">
        <f>Engagement_Summary[[#This Row],[New_Followers]]-Engagement_Summary[[#This Row],[Unfollows]]</f>
        <v>367</v>
      </c>
      <c r="G81">
        <v>199178</v>
      </c>
      <c r="H81" s="10">
        <f>Engagement_Summary[[#This Row],[Growth]]/Engagement_Summary[[#This Row],[Total_Followers]]</f>
        <v>1.8425729749269497E-3</v>
      </c>
      <c r="I81">
        <v>1.53</v>
      </c>
      <c r="J81">
        <v>6742</v>
      </c>
      <c r="K81" t="str">
        <f>IF(AND(A81&gt;=Campaign!$B$2,A81&lt;=Campaign!$C$2),"CybertruckLaunch",IF(AND(A81&gt;=Campaign!$B$3,A81&lt;=Campaign!$C$3),"ModelYcampaign",IF(AND(A81&gt;=Campaign!$B$4,A81&lt;=Campaign!$C$4),"FSDUpdate",IF(AND(A81&gt;=Campaign!$B$5,A81&lt;=Campaign!$C$5),"SustainabilityDrive","No Campaign"))))</f>
        <v>ModelYcampaign</v>
      </c>
    </row>
    <row r="82" spans="1:11" x14ac:dyDescent="0.35">
      <c r="A82" s="2">
        <v>45586</v>
      </c>
      <c r="B82" s="12">
        <f t="shared" si="2"/>
        <v>21</v>
      </c>
      <c r="C82" s="1" t="s">
        <v>29</v>
      </c>
      <c r="D82">
        <v>703</v>
      </c>
      <c r="E82">
        <v>441</v>
      </c>
      <c r="F82">
        <f>Engagement_Summary[[#This Row],[New_Followers]]-Engagement_Summary[[#This Row],[Unfollows]]</f>
        <v>262</v>
      </c>
      <c r="G82">
        <v>357089</v>
      </c>
      <c r="H82" s="10">
        <f>Engagement_Summary[[#This Row],[Growth]]/Engagement_Summary[[#This Row],[Total_Followers]]</f>
        <v>7.3371064356504961E-4</v>
      </c>
      <c r="I82">
        <v>6.5</v>
      </c>
      <c r="J82">
        <v>32478</v>
      </c>
      <c r="K82" t="str">
        <f>IF(AND(A82&gt;=Campaign!$B$2,A82&lt;=Campaign!$C$2),"CybertruckLaunch",IF(AND(A82&gt;=Campaign!$B$3,A82&lt;=Campaign!$C$3),"ModelYcampaign",IF(AND(A82&gt;=Campaign!$B$4,A82&lt;=Campaign!$C$4),"FSDUpdate",IF(AND(A82&gt;=Campaign!$B$5,A82&lt;=Campaign!$C$5),"SustainabilityDrive","No Campaign"))))</f>
        <v>ModelYcampaign</v>
      </c>
    </row>
    <row r="83" spans="1:11" x14ac:dyDescent="0.35">
      <c r="A83" s="2">
        <v>45586</v>
      </c>
      <c r="B83" s="12">
        <f t="shared" si="2"/>
        <v>21</v>
      </c>
      <c r="C83" s="1" t="s">
        <v>30</v>
      </c>
      <c r="D83">
        <v>508</v>
      </c>
      <c r="E83">
        <v>69</v>
      </c>
      <c r="F83">
        <f>Engagement_Summary[[#This Row],[New_Followers]]-Engagement_Summary[[#This Row],[Unfollows]]</f>
        <v>439</v>
      </c>
      <c r="G83">
        <v>23492</v>
      </c>
      <c r="H83" s="10">
        <f>Engagement_Summary[[#This Row],[Growth]]/Engagement_Summary[[#This Row],[Total_Followers]]</f>
        <v>1.8687212668142345E-2</v>
      </c>
      <c r="I83">
        <v>3.16</v>
      </c>
      <c r="J83">
        <v>42824</v>
      </c>
      <c r="K83" t="str">
        <f>IF(AND(A83&gt;=Campaign!$B$2,A83&lt;=Campaign!$C$2),"CybertruckLaunch",IF(AND(A83&gt;=Campaign!$B$3,A83&lt;=Campaign!$C$3),"ModelYcampaign",IF(AND(A83&gt;=Campaign!$B$4,A83&lt;=Campaign!$C$4),"FSDUpdate",IF(AND(A83&gt;=Campaign!$B$5,A83&lt;=Campaign!$C$5),"SustainabilityDrive","No Campaign"))))</f>
        <v>ModelYcampaign</v>
      </c>
    </row>
    <row r="84" spans="1:11" x14ac:dyDescent="0.35">
      <c r="A84" s="2">
        <v>45586</v>
      </c>
      <c r="B84" s="12">
        <f t="shared" si="2"/>
        <v>21</v>
      </c>
      <c r="C84" s="1" t="s">
        <v>31</v>
      </c>
      <c r="D84">
        <v>697</v>
      </c>
      <c r="E84">
        <v>61</v>
      </c>
      <c r="F84">
        <f>Engagement_Summary[[#This Row],[New_Followers]]-Engagement_Summary[[#This Row],[Unfollows]]</f>
        <v>636</v>
      </c>
      <c r="G84">
        <v>258287</v>
      </c>
      <c r="H84" s="10">
        <f>Engagement_Summary[[#This Row],[Growth]]/Engagement_Summary[[#This Row],[Total_Followers]]</f>
        <v>2.4623771231227277E-3</v>
      </c>
      <c r="I84">
        <v>8.25</v>
      </c>
      <c r="J84">
        <v>21208</v>
      </c>
      <c r="K84" t="str">
        <f>IF(AND(A84&gt;=Campaign!$B$2,A84&lt;=Campaign!$C$2),"CybertruckLaunch",IF(AND(A84&gt;=Campaign!$B$3,A84&lt;=Campaign!$C$3),"ModelYcampaign",IF(AND(A84&gt;=Campaign!$B$4,A84&lt;=Campaign!$C$4),"FSDUpdate",IF(AND(A84&gt;=Campaign!$B$5,A84&lt;=Campaign!$C$5),"SustainabilityDrive","No Campaign"))))</f>
        <v>ModelYcampaign</v>
      </c>
    </row>
    <row r="85" spans="1:11" x14ac:dyDescent="0.35">
      <c r="A85" s="2">
        <v>45586</v>
      </c>
      <c r="B85" s="12">
        <f t="shared" si="2"/>
        <v>21</v>
      </c>
      <c r="C85" s="1" t="s">
        <v>32</v>
      </c>
      <c r="D85">
        <v>1707</v>
      </c>
      <c r="E85">
        <v>223</v>
      </c>
      <c r="F85">
        <f>Engagement_Summary[[#This Row],[New_Followers]]-Engagement_Summary[[#This Row],[Unfollows]]</f>
        <v>1484</v>
      </c>
      <c r="G85">
        <v>256910</v>
      </c>
      <c r="H85" s="10">
        <f>Engagement_Summary[[#This Row],[Growth]]/Engagement_Summary[[#This Row],[Total_Followers]]</f>
        <v>5.7763419096181542E-3</v>
      </c>
      <c r="I85">
        <v>5.41</v>
      </c>
      <c r="J85">
        <v>44321</v>
      </c>
      <c r="K85" t="str">
        <f>IF(AND(A85&gt;=Campaign!$B$2,A85&lt;=Campaign!$C$2),"CybertruckLaunch",IF(AND(A85&gt;=Campaign!$B$3,A85&lt;=Campaign!$C$3),"ModelYcampaign",IF(AND(A85&gt;=Campaign!$B$4,A85&lt;=Campaign!$C$4),"FSDUpdate",IF(AND(A85&gt;=Campaign!$B$5,A85&lt;=Campaign!$C$5),"SustainabilityDrive","No Campaign"))))</f>
        <v>ModelYcampaign</v>
      </c>
    </row>
    <row r="86" spans="1:11" x14ac:dyDescent="0.35">
      <c r="A86" s="2">
        <v>45593</v>
      </c>
      <c r="B86" s="12">
        <f t="shared" si="2"/>
        <v>22</v>
      </c>
      <c r="C86" s="1" t="s">
        <v>29</v>
      </c>
      <c r="D86">
        <v>642</v>
      </c>
      <c r="E86">
        <v>66</v>
      </c>
      <c r="F86">
        <f>Engagement_Summary[[#This Row],[New_Followers]]-Engagement_Summary[[#This Row],[Unfollows]]</f>
        <v>576</v>
      </c>
      <c r="G86">
        <v>346522</v>
      </c>
      <c r="H86" s="10">
        <f>Engagement_Summary[[#This Row],[Growth]]/Engagement_Summary[[#This Row],[Total_Followers]]</f>
        <v>1.6622321237901201E-3</v>
      </c>
      <c r="I86">
        <v>5.85</v>
      </c>
      <c r="J86">
        <v>13116</v>
      </c>
      <c r="K86" t="str">
        <f>IF(AND(A86&gt;=Campaign!$B$2,A86&lt;=Campaign!$C$2),"CybertruckLaunch",IF(AND(A86&gt;=Campaign!$B$3,A86&lt;=Campaign!$C$3),"ModelYcampaign",IF(AND(A86&gt;=Campaign!$B$4,A86&lt;=Campaign!$C$4),"FSDUpdate",IF(AND(A86&gt;=Campaign!$B$5,A86&lt;=Campaign!$C$5),"SustainabilityDrive","No Campaign"))))</f>
        <v>ModelYcampaign</v>
      </c>
    </row>
    <row r="87" spans="1:11" x14ac:dyDescent="0.35">
      <c r="A87" s="2">
        <v>45593</v>
      </c>
      <c r="B87" s="12">
        <f t="shared" si="2"/>
        <v>22</v>
      </c>
      <c r="C87" s="1" t="s">
        <v>30</v>
      </c>
      <c r="D87">
        <v>859</v>
      </c>
      <c r="E87">
        <v>473</v>
      </c>
      <c r="F87">
        <f>Engagement_Summary[[#This Row],[New_Followers]]-Engagement_Summary[[#This Row],[Unfollows]]</f>
        <v>386</v>
      </c>
      <c r="G87">
        <v>209987</v>
      </c>
      <c r="H87" s="10">
        <f>Engagement_Summary[[#This Row],[Growth]]/Engagement_Summary[[#This Row],[Total_Followers]]</f>
        <v>1.8382090319876945E-3</v>
      </c>
      <c r="I87">
        <v>4.46</v>
      </c>
      <c r="J87">
        <v>30214</v>
      </c>
      <c r="K87" t="str">
        <f>IF(AND(A87&gt;=Campaign!$B$2,A87&lt;=Campaign!$C$2),"CybertruckLaunch",IF(AND(A87&gt;=Campaign!$B$3,A87&lt;=Campaign!$C$3),"ModelYcampaign",IF(AND(A87&gt;=Campaign!$B$4,A87&lt;=Campaign!$C$4),"FSDUpdate",IF(AND(A87&gt;=Campaign!$B$5,A87&lt;=Campaign!$C$5),"SustainabilityDrive","No Campaign"))))</f>
        <v>ModelYcampaign</v>
      </c>
    </row>
    <row r="88" spans="1:11" x14ac:dyDescent="0.35">
      <c r="A88" s="2">
        <v>45593</v>
      </c>
      <c r="B88" s="12">
        <f t="shared" si="2"/>
        <v>22</v>
      </c>
      <c r="C88" s="1" t="s">
        <v>31</v>
      </c>
      <c r="D88">
        <v>191</v>
      </c>
      <c r="E88">
        <v>154</v>
      </c>
      <c r="F88">
        <f>Engagement_Summary[[#This Row],[New_Followers]]-Engagement_Summary[[#This Row],[Unfollows]]</f>
        <v>37</v>
      </c>
      <c r="G88">
        <v>240550</v>
      </c>
      <c r="H88" s="10">
        <f>Engagement_Summary[[#This Row],[Growth]]/Engagement_Summary[[#This Row],[Total_Followers]]</f>
        <v>1.5381417584701726E-4</v>
      </c>
      <c r="I88">
        <v>5.22</v>
      </c>
      <c r="J88">
        <v>15827</v>
      </c>
      <c r="K88" t="str">
        <f>IF(AND(A88&gt;=Campaign!$B$2,A88&lt;=Campaign!$C$2),"CybertruckLaunch",IF(AND(A88&gt;=Campaign!$B$3,A88&lt;=Campaign!$C$3),"ModelYcampaign",IF(AND(A88&gt;=Campaign!$B$4,A88&lt;=Campaign!$C$4),"FSDUpdate",IF(AND(A88&gt;=Campaign!$B$5,A88&lt;=Campaign!$C$5),"SustainabilityDrive","No Campaign"))))</f>
        <v>ModelYcampaign</v>
      </c>
    </row>
    <row r="89" spans="1:11" x14ac:dyDescent="0.35">
      <c r="A89" s="2">
        <v>45593</v>
      </c>
      <c r="B89" s="12">
        <f t="shared" si="2"/>
        <v>22</v>
      </c>
      <c r="C89" s="1" t="s">
        <v>32</v>
      </c>
      <c r="D89">
        <v>1814</v>
      </c>
      <c r="E89">
        <v>157</v>
      </c>
      <c r="F89">
        <f>Engagement_Summary[[#This Row],[New_Followers]]-Engagement_Summary[[#This Row],[Unfollows]]</f>
        <v>1657</v>
      </c>
      <c r="G89">
        <v>305827</v>
      </c>
      <c r="H89" s="10">
        <f>Engagement_Summary[[#This Row],[Growth]]/Engagement_Summary[[#This Row],[Total_Followers]]</f>
        <v>5.4180958515762179E-3</v>
      </c>
      <c r="I89">
        <v>1.99</v>
      </c>
      <c r="J89">
        <v>46643</v>
      </c>
      <c r="K89" t="str">
        <f>IF(AND(A89&gt;=Campaign!$B$2,A89&lt;=Campaign!$C$2),"CybertruckLaunch",IF(AND(A89&gt;=Campaign!$B$3,A89&lt;=Campaign!$C$3),"ModelYcampaign",IF(AND(A89&gt;=Campaign!$B$4,A89&lt;=Campaign!$C$4),"FSDUpdate",IF(AND(A89&gt;=Campaign!$B$5,A89&lt;=Campaign!$C$5),"SustainabilityDrive","No Campaign"))))</f>
        <v>ModelYcampaign</v>
      </c>
    </row>
    <row r="90" spans="1:11" x14ac:dyDescent="0.35">
      <c r="A90" s="2">
        <v>45600</v>
      </c>
      <c r="B90" s="12">
        <f t="shared" si="2"/>
        <v>23</v>
      </c>
      <c r="C90" s="1" t="s">
        <v>29</v>
      </c>
      <c r="D90">
        <v>1466</v>
      </c>
      <c r="E90">
        <v>69</v>
      </c>
      <c r="F90">
        <f>Engagement_Summary[[#This Row],[New_Followers]]-Engagement_Summary[[#This Row],[Unfollows]]</f>
        <v>1397</v>
      </c>
      <c r="G90">
        <v>54935</v>
      </c>
      <c r="H90" s="10">
        <f>Engagement_Summary[[#This Row],[Growth]]/Engagement_Summary[[#This Row],[Total_Followers]]</f>
        <v>2.5430053699827069E-2</v>
      </c>
      <c r="I90">
        <v>6.85</v>
      </c>
      <c r="J90">
        <v>36484</v>
      </c>
      <c r="K90" t="str">
        <f>IF(AND(A90&gt;=Campaign!$B$2,A90&lt;=Campaign!$C$2),"CybertruckLaunch",IF(AND(A90&gt;=Campaign!$B$3,A90&lt;=Campaign!$C$3),"ModelYcampaign",IF(AND(A90&gt;=Campaign!$B$4,A90&lt;=Campaign!$C$4),"FSDUpdate",IF(AND(A90&gt;=Campaign!$B$5,A90&lt;=Campaign!$C$5),"SustainabilityDrive","No Campaign"))))</f>
        <v>No Campaign</v>
      </c>
    </row>
    <row r="91" spans="1:11" x14ac:dyDescent="0.35">
      <c r="A91" s="2">
        <v>45600</v>
      </c>
      <c r="B91" s="12">
        <f t="shared" si="2"/>
        <v>23</v>
      </c>
      <c r="C91" s="1" t="s">
        <v>30</v>
      </c>
      <c r="D91">
        <v>947</v>
      </c>
      <c r="E91">
        <v>407</v>
      </c>
      <c r="F91">
        <f>Engagement_Summary[[#This Row],[New_Followers]]-Engagement_Summary[[#This Row],[Unfollows]]</f>
        <v>540</v>
      </c>
      <c r="G91">
        <v>319186</v>
      </c>
      <c r="H91" s="10">
        <f>Engagement_Summary[[#This Row],[Growth]]/Engagement_Summary[[#This Row],[Total_Followers]]</f>
        <v>1.6918035252172713E-3</v>
      </c>
      <c r="I91">
        <v>3.32</v>
      </c>
      <c r="J91">
        <v>4996</v>
      </c>
      <c r="K91" t="str">
        <f>IF(AND(A91&gt;=Campaign!$B$2,A91&lt;=Campaign!$C$2),"CybertruckLaunch",IF(AND(A91&gt;=Campaign!$B$3,A91&lt;=Campaign!$C$3),"ModelYcampaign",IF(AND(A91&gt;=Campaign!$B$4,A91&lt;=Campaign!$C$4),"FSDUpdate",IF(AND(A91&gt;=Campaign!$B$5,A91&lt;=Campaign!$C$5),"SustainabilityDrive","No Campaign"))))</f>
        <v>No Campaign</v>
      </c>
    </row>
    <row r="92" spans="1:11" x14ac:dyDescent="0.35">
      <c r="A92" s="2">
        <v>45600</v>
      </c>
      <c r="B92" s="12">
        <f t="shared" si="2"/>
        <v>23</v>
      </c>
      <c r="C92" s="1" t="s">
        <v>31</v>
      </c>
      <c r="D92">
        <v>1821</v>
      </c>
      <c r="E92">
        <v>218</v>
      </c>
      <c r="F92">
        <f>Engagement_Summary[[#This Row],[New_Followers]]-Engagement_Summary[[#This Row],[Unfollows]]</f>
        <v>1603</v>
      </c>
      <c r="G92">
        <v>439080</v>
      </c>
      <c r="H92" s="10">
        <f>Engagement_Summary[[#This Row],[Growth]]/Engagement_Summary[[#This Row],[Total_Followers]]</f>
        <v>3.6508153411678964E-3</v>
      </c>
      <c r="I92">
        <v>5.68</v>
      </c>
      <c r="J92">
        <v>36095</v>
      </c>
      <c r="K92" t="str">
        <f>IF(AND(A92&gt;=Campaign!$B$2,A92&lt;=Campaign!$C$2),"CybertruckLaunch",IF(AND(A92&gt;=Campaign!$B$3,A92&lt;=Campaign!$C$3),"ModelYcampaign",IF(AND(A92&gt;=Campaign!$B$4,A92&lt;=Campaign!$C$4),"FSDUpdate",IF(AND(A92&gt;=Campaign!$B$5,A92&lt;=Campaign!$C$5),"SustainabilityDrive","No Campaign"))))</f>
        <v>No Campaign</v>
      </c>
    </row>
    <row r="93" spans="1:11" x14ac:dyDescent="0.35">
      <c r="A93" s="2">
        <v>45600</v>
      </c>
      <c r="B93" s="12">
        <f t="shared" si="2"/>
        <v>23</v>
      </c>
      <c r="C93" s="1" t="s">
        <v>32</v>
      </c>
      <c r="D93">
        <v>1507</v>
      </c>
      <c r="E93">
        <v>463</v>
      </c>
      <c r="F93">
        <f>Engagement_Summary[[#This Row],[New_Followers]]-Engagement_Summary[[#This Row],[Unfollows]]</f>
        <v>1044</v>
      </c>
      <c r="G93">
        <v>258944</v>
      </c>
      <c r="H93" s="10">
        <f>Engagement_Summary[[#This Row],[Growth]]/Engagement_Summary[[#This Row],[Total_Followers]]</f>
        <v>4.0317597627286209E-3</v>
      </c>
      <c r="I93">
        <v>6.08</v>
      </c>
      <c r="J93">
        <v>16443</v>
      </c>
      <c r="K93" t="str">
        <f>IF(AND(A93&gt;=Campaign!$B$2,A93&lt;=Campaign!$C$2),"CybertruckLaunch",IF(AND(A93&gt;=Campaign!$B$3,A93&lt;=Campaign!$C$3),"ModelYcampaign",IF(AND(A93&gt;=Campaign!$B$4,A93&lt;=Campaign!$C$4),"FSDUpdate",IF(AND(A93&gt;=Campaign!$B$5,A93&lt;=Campaign!$C$5),"SustainabilityDrive","No Campaign"))))</f>
        <v>No Campaign</v>
      </c>
    </row>
    <row r="94" spans="1:11" x14ac:dyDescent="0.35">
      <c r="A94" s="2">
        <v>45607</v>
      </c>
      <c r="B94" s="12">
        <f t="shared" si="2"/>
        <v>24</v>
      </c>
      <c r="C94" s="1" t="s">
        <v>29</v>
      </c>
      <c r="D94">
        <v>1075</v>
      </c>
      <c r="E94">
        <v>173</v>
      </c>
      <c r="F94">
        <f>Engagement_Summary[[#This Row],[New_Followers]]-Engagement_Summary[[#This Row],[Unfollows]]</f>
        <v>902</v>
      </c>
      <c r="G94">
        <v>51395</v>
      </c>
      <c r="H94" s="10">
        <f>Engagement_Summary[[#This Row],[Growth]]/Engagement_Summary[[#This Row],[Total_Followers]]</f>
        <v>1.7550345364335054E-2</v>
      </c>
      <c r="I94">
        <v>4.66</v>
      </c>
      <c r="J94">
        <v>47812</v>
      </c>
      <c r="K94" t="str">
        <f>IF(AND(A94&gt;=Campaign!$B$2,A94&lt;=Campaign!$C$2),"CybertruckLaunch",IF(AND(A94&gt;=Campaign!$B$3,A94&lt;=Campaign!$C$3),"ModelYcampaign",IF(AND(A94&gt;=Campaign!$B$4,A94&lt;=Campaign!$C$4),"FSDUpdate",IF(AND(A94&gt;=Campaign!$B$5,A94&lt;=Campaign!$C$5),"SustainabilityDrive","No Campaign"))))</f>
        <v>No Campaign</v>
      </c>
    </row>
    <row r="95" spans="1:11" x14ac:dyDescent="0.35">
      <c r="A95" s="2">
        <v>45607</v>
      </c>
      <c r="B95" s="12">
        <f t="shared" si="2"/>
        <v>24</v>
      </c>
      <c r="C95" s="1" t="s">
        <v>30</v>
      </c>
      <c r="D95">
        <v>171</v>
      </c>
      <c r="E95">
        <v>277</v>
      </c>
      <c r="F95">
        <f>Engagement_Summary[[#This Row],[New_Followers]]-Engagement_Summary[[#This Row],[Unfollows]]</f>
        <v>-106</v>
      </c>
      <c r="G95">
        <v>309483</v>
      </c>
      <c r="H95" s="10">
        <f>Engagement_Summary[[#This Row],[Growth]]/Engagement_Summary[[#This Row],[Total_Followers]]</f>
        <v>-3.4250669665215861E-4</v>
      </c>
      <c r="I95">
        <v>8.6999999999999993</v>
      </c>
      <c r="J95">
        <v>38452</v>
      </c>
      <c r="K95" t="str">
        <f>IF(AND(A95&gt;=Campaign!$B$2,A95&lt;=Campaign!$C$2),"CybertruckLaunch",IF(AND(A95&gt;=Campaign!$B$3,A95&lt;=Campaign!$C$3),"ModelYcampaign",IF(AND(A95&gt;=Campaign!$B$4,A95&lt;=Campaign!$C$4),"FSDUpdate",IF(AND(A95&gt;=Campaign!$B$5,A95&lt;=Campaign!$C$5),"SustainabilityDrive","No Campaign"))))</f>
        <v>No Campaign</v>
      </c>
    </row>
    <row r="96" spans="1:11" x14ac:dyDescent="0.35">
      <c r="A96" s="2">
        <v>45607</v>
      </c>
      <c r="B96" s="12">
        <f t="shared" si="2"/>
        <v>24</v>
      </c>
      <c r="C96" s="1" t="s">
        <v>31</v>
      </c>
      <c r="D96">
        <v>1487</v>
      </c>
      <c r="E96">
        <v>337</v>
      </c>
      <c r="F96">
        <f>Engagement_Summary[[#This Row],[New_Followers]]-Engagement_Summary[[#This Row],[Unfollows]]</f>
        <v>1150</v>
      </c>
      <c r="G96">
        <v>87305</v>
      </c>
      <c r="H96" s="10">
        <f>Engagement_Summary[[#This Row],[Growth]]/Engagement_Summary[[#This Row],[Total_Followers]]</f>
        <v>1.3172212358971423E-2</v>
      </c>
      <c r="I96">
        <v>2.46</v>
      </c>
      <c r="J96">
        <v>30428</v>
      </c>
      <c r="K96" t="str">
        <f>IF(AND(A96&gt;=Campaign!$B$2,A96&lt;=Campaign!$C$2),"CybertruckLaunch",IF(AND(A96&gt;=Campaign!$B$3,A96&lt;=Campaign!$C$3),"ModelYcampaign",IF(AND(A96&gt;=Campaign!$B$4,A96&lt;=Campaign!$C$4),"FSDUpdate",IF(AND(A96&gt;=Campaign!$B$5,A96&lt;=Campaign!$C$5),"SustainabilityDrive","No Campaign"))))</f>
        <v>No Campaign</v>
      </c>
    </row>
    <row r="97" spans="1:11" x14ac:dyDescent="0.35">
      <c r="A97" s="2">
        <v>45607</v>
      </c>
      <c r="B97" s="12">
        <f t="shared" si="2"/>
        <v>24</v>
      </c>
      <c r="C97" s="1" t="s">
        <v>32</v>
      </c>
      <c r="D97">
        <v>454</v>
      </c>
      <c r="E97">
        <v>105</v>
      </c>
      <c r="F97">
        <f>Engagement_Summary[[#This Row],[New_Followers]]-Engagement_Summary[[#This Row],[Unfollows]]</f>
        <v>349</v>
      </c>
      <c r="G97">
        <v>121091</v>
      </c>
      <c r="H97" s="10">
        <f>Engagement_Summary[[#This Row],[Growth]]/Engagement_Summary[[#This Row],[Total_Followers]]</f>
        <v>2.8821299683708945E-3</v>
      </c>
      <c r="I97">
        <v>7.97</v>
      </c>
      <c r="J97">
        <v>9269</v>
      </c>
      <c r="K97" t="str">
        <f>IF(AND(A97&gt;=Campaign!$B$2,A97&lt;=Campaign!$C$2),"CybertruckLaunch",IF(AND(A97&gt;=Campaign!$B$3,A97&lt;=Campaign!$C$3),"ModelYcampaign",IF(AND(A97&gt;=Campaign!$B$4,A97&lt;=Campaign!$C$4),"FSDUpdate",IF(AND(A97&gt;=Campaign!$B$5,A97&lt;=Campaign!$C$5),"SustainabilityDrive","No Campaign"))))</f>
        <v>No Campaign</v>
      </c>
    </row>
    <row r="98" spans="1:11" x14ac:dyDescent="0.35">
      <c r="A98" s="2">
        <v>45614</v>
      </c>
      <c r="B98" s="12">
        <f t="shared" ref="B98:B129" si="3">MATCH(A98,_xlfn.UNIQUE($A$2:$A$200),0)</f>
        <v>25</v>
      </c>
      <c r="C98" s="1" t="s">
        <v>29</v>
      </c>
      <c r="D98">
        <v>187</v>
      </c>
      <c r="E98">
        <v>236</v>
      </c>
      <c r="F98">
        <f>Engagement_Summary[[#This Row],[New_Followers]]-Engagement_Summary[[#This Row],[Unfollows]]</f>
        <v>-49</v>
      </c>
      <c r="G98">
        <v>51087</v>
      </c>
      <c r="H98" s="10">
        <f>Engagement_Summary[[#This Row],[Growth]]/Engagement_Summary[[#This Row],[Total_Followers]]</f>
        <v>-9.5914811987394058E-4</v>
      </c>
      <c r="I98">
        <v>9.41</v>
      </c>
      <c r="J98">
        <v>29533</v>
      </c>
      <c r="K98" t="str">
        <f>IF(AND(A98&gt;=Campaign!$B$2,A98&lt;=Campaign!$C$2),"CybertruckLaunch",IF(AND(A98&gt;=Campaign!$B$3,A98&lt;=Campaign!$C$3),"ModelYcampaign",IF(AND(A98&gt;=Campaign!$B$4,A98&lt;=Campaign!$C$4),"FSDUpdate",IF(AND(A98&gt;=Campaign!$B$5,A98&lt;=Campaign!$C$5),"SustainabilityDrive","No Campaign"))))</f>
        <v>No Campaign</v>
      </c>
    </row>
    <row r="99" spans="1:11" x14ac:dyDescent="0.35">
      <c r="A99" s="2">
        <v>45614</v>
      </c>
      <c r="B99" s="12">
        <f t="shared" si="3"/>
        <v>25</v>
      </c>
      <c r="C99" s="1" t="s">
        <v>30</v>
      </c>
      <c r="D99">
        <v>513</v>
      </c>
      <c r="E99">
        <v>441</v>
      </c>
      <c r="F99">
        <f>Engagement_Summary[[#This Row],[New_Followers]]-Engagement_Summary[[#This Row],[Unfollows]]</f>
        <v>72</v>
      </c>
      <c r="G99">
        <v>338847</v>
      </c>
      <c r="H99" s="10">
        <f>Engagement_Summary[[#This Row],[Growth]]/Engagement_Summary[[#This Row],[Total_Followers]]</f>
        <v>2.1248528096751631E-4</v>
      </c>
      <c r="I99">
        <v>2.68</v>
      </c>
      <c r="J99">
        <v>39997</v>
      </c>
      <c r="K99" t="str">
        <f>IF(AND(A99&gt;=Campaign!$B$2,A99&lt;=Campaign!$C$2),"CybertruckLaunch",IF(AND(A99&gt;=Campaign!$B$3,A99&lt;=Campaign!$C$3),"ModelYcampaign",IF(AND(A99&gt;=Campaign!$B$4,A99&lt;=Campaign!$C$4),"FSDUpdate",IF(AND(A99&gt;=Campaign!$B$5,A99&lt;=Campaign!$C$5),"SustainabilityDrive","No Campaign"))))</f>
        <v>No Campaign</v>
      </c>
    </row>
    <row r="100" spans="1:11" x14ac:dyDescent="0.35">
      <c r="A100" s="2">
        <v>45614</v>
      </c>
      <c r="B100" s="12">
        <f t="shared" si="3"/>
        <v>25</v>
      </c>
      <c r="C100" s="1" t="s">
        <v>31</v>
      </c>
      <c r="D100">
        <v>628</v>
      </c>
      <c r="E100">
        <v>183</v>
      </c>
      <c r="F100">
        <f>Engagement_Summary[[#This Row],[New_Followers]]-Engagement_Summary[[#This Row],[Unfollows]]</f>
        <v>445</v>
      </c>
      <c r="G100">
        <v>487523</v>
      </c>
      <c r="H100" s="10">
        <f>Engagement_Summary[[#This Row],[Growth]]/Engagement_Summary[[#This Row],[Total_Followers]]</f>
        <v>9.1277744844858602E-4</v>
      </c>
      <c r="I100">
        <v>7.32</v>
      </c>
      <c r="J100">
        <v>5391</v>
      </c>
      <c r="K100" t="str">
        <f>IF(AND(A100&gt;=Campaign!$B$2,A100&lt;=Campaign!$C$2),"CybertruckLaunch",IF(AND(A100&gt;=Campaign!$B$3,A100&lt;=Campaign!$C$3),"ModelYcampaign",IF(AND(A100&gt;=Campaign!$B$4,A100&lt;=Campaign!$C$4),"FSDUpdate",IF(AND(A100&gt;=Campaign!$B$5,A100&lt;=Campaign!$C$5),"SustainabilityDrive","No Campaign"))))</f>
        <v>No Campaign</v>
      </c>
    </row>
    <row r="101" spans="1:11" x14ac:dyDescent="0.35">
      <c r="A101" s="2">
        <v>45614</v>
      </c>
      <c r="B101" s="12">
        <f t="shared" si="3"/>
        <v>25</v>
      </c>
      <c r="C101" s="1" t="s">
        <v>32</v>
      </c>
      <c r="D101">
        <v>278</v>
      </c>
      <c r="E101">
        <v>218</v>
      </c>
      <c r="F101">
        <f>Engagement_Summary[[#This Row],[New_Followers]]-Engagement_Summary[[#This Row],[Unfollows]]</f>
        <v>60</v>
      </c>
      <c r="G101">
        <v>301695</v>
      </c>
      <c r="H101" s="10">
        <f>Engagement_Summary[[#This Row],[Growth]]/Engagement_Summary[[#This Row],[Total_Followers]]</f>
        <v>1.9887634863023914E-4</v>
      </c>
      <c r="I101">
        <v>4.68</v>
      </c>
      <c r="J101">
        <v>22373</v>
      </c>
      <c r="K101" t="str">
        <f>IF(AND(A101&gt;=Campaign!$B$2,A101&lt;=Campaign!$C$2),"CybertruckLaunch",IF(AND(A101&gt;=Campaign!$B$3,A101&lt;=Campaign!$C$3),"ModelYcampaign",IF(AND(A101&gt;=Campaign!$B$4,A101&lt;=Campaign!$C$4),"FSDUpdate",IF(AND(A101&gt;=Campaign!$B$5,A101&lt;=Campaign!$C$5),"SustainabilityDrive","No Campaign"))))</f>
        <v>No Campaign</v>
      </c>
    </row>
    <row r="102" spans="1:11" x14ac:dyDescent="0.35">
      <c r="A102" s="2">
        <v>45621</v>
      </c>
      <c r="B102" s="12">
        <f t="shared" si="3"/>
        <v>26</v>
      </c>
      <c r="C102" s="1" t="s">
        <v>29</v>
      </c>
      <c r="D102">
        <v>1854</v>
      </c>
      <c r="E102">
        <v>161</v>
      </c>
      <c r="F102">
        <f>Engagement_Summary[[#This Row],[New_Followers]]-Engagement_Summary[[#This Row],[Unfollows]]</f>
        <v>1693</v>
      </c>
      <c r="G102">
        <v>282466</v>
      </c>
      <c r="H102" s="10">
        <f>Engagement_Summary[[#This Row],[Growth]]/Engagement_Summary[[#This Row],[Total_Followers]]</f>
        <v>5.9936417126309005E-3</v>
      </c>
      <c r="I102">
        <v>5.17</v>
      </c>
      <c r="J102">
        <v>1810</v>
      </c>
      <c r="K102" t="str">
        <f>IF(AND(A102&gt;=Campaign!$B$2,A102&lt;=Campaign!$C$2),"CybertruckLaunch",IF(AND(A102&gt;=Campaign!$B$3,A102&lt;=Campaign!$C$3),"ModelYcampaign",IF(AND(A102&gt;=Campaign!$B$4,A102&lt;=Campaign!$C$4),"FSDUpdate",IF(AND(A102&gt;=Campaign!$B$5,A102&lt;=Campaign!$C$5),"SustainabilityDrive","No Campaign"))))</f>
        <v>No Campaign</v>
      </c>
    </row>
    <row r="103" spans="1:11" x14ac:dyDescent="0.35">
      <c r="A103" s="2">
        <v>45621</v>
      </c>
      <c r="B103" s="12">
        <f t="shared" si="3"/>
        <v>26</v>
      </c>
      <c r="C103" s="1" t="s">
        <v>30</v>
      </c>
      <c r="D103">
        <v>1710</v>
      </c>
      <c r="E103">
        <v>378</v>
      </c>
      <c r="F103">
        <f>Engagement_Summary[[#This Row],[New_Followers]]-Engagement_Summary[[#This Row],[Unfollows]]</f>
        <v>1332</v>
      </c>
      <c r="G103">
        <v>336661</v>
      </c>
      <c r="H103" s="10">
        <f>Engagement_Summary[[#This Row],[Growth]]/Engagement_Summary[[#This Row],[Total_Followers]]</f>
        <v>3.9565022381564839E-3</v>
      </c>
      <c r="I103">
        <v>6.2</v>
      </c>
      <c r="J103">
        <v>28498</v>
      </c>
      <c r="K103" t="str">
        <f>IF(AND(A103&gt;=Campaign!$B$2,A103&lt;=Campaign!$C$2),"CybertruckLaunch",IF(AND(A103&gt;=Campaign!$B$3,A103&lt;=Campaign!$C$3),"ModelYcampaign",IF(AND(A103&gt;=Campaign!$B$4,A103&lt;=Campaign!$C$4),"FSDUpdate",IF(AND(A103&gt;=Campaign!$B$5,A103&lt;=Campaign!$C$5),"SustainabilityDrive","No Campaign"))))</f>
        <v>No Campaign</v>
      </c>
    </row>
    <row r="104" spans="1:11" x14ac:dyDescent="0.35">
      <c r="A104" s="2">
        <v>45621</v>
      </c>
      <c r="B104" s="12">
        <f t="shared" si="3"/>
        <v>26</v>
      </c>
      <c r="C104" s="1" t="s">
        <v>31</v>
      </c>
      <c r="D104">
        <v>330</v>
      </c>
      <c r="E104">
        <v>232</v>
      </c>
      <c r="F104">
        <f>Engagement_Summary[[#This Row],[New_Followers]]-Engagement_Summary[[#This Row],[Unfollows]]</f>
        <v>98</v>
      </c>
      <c r="G104">
        <v>88455</v>
      </c>
      <c r="H104" s="10">
        <f>Engagement_Summary[[#This Row],[Growth]]/Engagement_Summary[[#This Row],[Total_Followers]]</f>
        <v>1.1079079758069075E-3</v>
      </c>
      <c r="I104">
        <v>2.69</v>
      </c>
      <c r="J104">
        <v>39530</v>
      </c>
      <c r="K104" t="str">
        <f>IF(AND(A104&gt;=Campaign!$B$2,A104&lt;=Campaign!$C$2),"CybertruckLaunch",IF(AND(A104&gt;=Campaign!$B$3,A104&lt;=Campaign!$C$3),"ModelYcampaign",IF(AND(A104&gt;=Campaign!$B$4,A104&lt;=Campaign!$C$4),"FSDUpdate",IF(AND(A104&gt;=Campaign!$B$5,A104&lt;=Campaign!$C$5),"SustainabilityDrive","No Campaign"))))</f>
        <v>No Campaign</v>
      </c>
    </row>
    <row r="105" spans="1:11" x14ac:dyDescent="0.35">
      <c r="A105" s="2">
        <v>45621</v>
      </c>
      <c r="B105" s="12">
        <f t="shared" si="3"/>
        <v>26</v>
      </c>
      <c r="C105" s="1" t="s">
        <v>32</v>
      </c>
      <c r="D105">
        <v>1293</v>
      </c>
      <c r="E105">
        <v>408</v>
      </c>
      <c r="F105">
        <f>Engagement_Summary[[#This Row],[New_Followers]]-Engagement_Summary[[#This Row],[Unfollows]]</f>
        <v>885</v>
      </c>
      <c r="G105">
        <v>62535</v>
      </c>
      <c r="H105" s="10">
        <f>Engagement_Summary[[#This Row],[Growth]]/Engagement_Summary[[#This Row],[Total_Followers]]</f>
        <v>1.4152074838090669E-2</v>
      </c>
      <c r="I105">
        <v>8.9</v>
      </c>
      <c r="J105">
        <v>37876</v>
      </c>
      <c r="K105" t="str">
        <f>IF(AND(A105&gt;=Campaign!$B$2,A105&lt;=Campaign!$C$2),"CybertruckLaunch",IF(AND(A105&gt;=Campaign!$B$3,A105&lt;=Campaign!$C$3),"ModelYcampaign",IF(AND(A105&gt;=Campaign!$B$4,A105&lt;=Campaign!$C$4),"FSDUpdate",IF(AND(A105&gt;=Campaign!$B$5,A105&lt;=Campaign!$C$5),"SustainabilityDrive","No Campaign"))))</f>
        <v>No Campaign</v>
      </c>
    </row>
    <row r="106" spans="1:11" x14ac:dyDescent="0.35">
      <c r="A106" s="2">
        <v>45628</v>
      </c>
      <c r="B106" s="12">
        <f t="shared" si="3"/>
        <v>27</v>
      </c>
      <c r="C106" s="1" t="s">
        <v>29</v>
      </c>
      <c r="D106">
        <v>1696</v>
      </c>
      <c r="E106">
        <v>71</v>
      </c>
      <c r="F106">
        <f>Engagement_Summary[[#This Row],[New_Followers]]-Engagement_Summary[[#This Row],[Unfollows]]</f>
        <v>1625</v>
      </c>
      <c r="G106">
        <v>421957</v>
      </c>
      <c r="H106" s="10">
        <f>Engagement_Summary[[#This Row],[Growth]]/Engagement_Summary[[#This Row],[Total_Followers]]</f>
        <v>3.8511033114748661E-3</v>
      </c>
      <c r="I106">
        <v>3.79</v>
      </c>
      <c r="J106">
        <v>36103</v>
      </c>
      <c r="K106" t="str">
        <f>IF(AND(A106&gt;=Campaign!$B$2,A106&lt;=Campaign!$C$2),"CybertruckLaunch",IF(AND(A106&gt;=Campaign!$B$3,A106&lt;=Campaign!$C$3),"ModelYcampaign",IF(AND(A106&gt;=Campaign!$B$4,A106&lt;=Campaign!$C$4),"FSDUpdate",IF(AND(A106&gt;=Campaign!$B$5,A106&lt;=Campaign!$C$5),"SustainabilityDrive","No Campaign"))))</f>
        <v>No Campaign</v>
      </c>
    </row>
    <row r="107" spans="1:11" x14ac:dyDescent="0.35">
      <c r="A107" s="2">
        <v>45628</v>
      </c>
      <c r="B107" s="12">
        <f t="shared" si="3"/>
        <v>27</v>
      </c>
      <c r="C107" s="1" t="s">
        <v>30</v>
      </c>
      <c r="D107">
        <v>1902</v>
      </c>
      <c r="E107">
        <v>196</v>
      </c>
      <c r="F107">
        <f>Engagement_Summary[[#This Row],[New_Followers]]-Engagement_Summary[[#This Row],[Unfollows]]</f>
        <v>1706</v>
      </c>
      <c r="G107">
        <v>470269</v>
      </c>
      <c r="H107" s="10">
        <f>Engagement_Summary[[#This Row],[Growth]]/Engagement_Summary[[#This Row],[Total_Followers]]</f>
        <v>3.6277109484146308E-3</v>
      </c>
      <c r="I107">
        <v>4.79</v>
      </c>
      <c r="J107">
        <v>26103</v>
      </c>
      <c r="K107" t="str">
        <f>IF(AND(A107&gt;=Campaign!$B$2,A107&lt;=Campaign!$C$2),"CybertruckLaunch",IF(AND(A107&gt;=Campaign!$B$3,A107&lt;=Campaign!$C$3),"ModelYcampaign",IF(AND(A107&gt;=Campaign!$B$4,A107&lt;=Campaign!$C$4),"FSDUpdate",IF(AND(A107&gt;=Campaign!$B$5,A107&lt;=Campaign!$C$5),"SustainabilityDrive","No Campaign"))))</f>
        <v>No Campaign</v>
      </c>
    </row>
    <row r="108" spans="1:11" x14ac:dyDescent="0.35">
      <c r="A108" s="2">
        <v>45628</v>
      </c>
      <c r="B108" s="12">
        <f t="shared" si="3"/>
        <v>27</v>
      </c>
      <c r="C108" s="1" t="s">
        <v>31</v>
      </c>
      <c r="D108">
        <v>1441</v>
      </c>
      <c r="E108">
        <v>268</v>
      </c>
      <c r="F108">
        <f>Engagement_Summary[[#This Row],[New_Followers]]-Engagement_Summary[[#This Row],[Unfollows]]</f>
        <v>1173</v>
      </c>
      <c r="G108">
        <v>309904</v>
      </c>
      <c r="H108" s="10">
        <f>Engagement_Summary[[#This Row],[Growth]]/Engagement_Summary[[#This Row],[Total_Followers]]</f>
        <v>3.7850431101244257E-3</v>
      </c>
      <c r="I108">
        <v>6.37</v>
      </c>
      <c r="J108">
        <v>3455</v>
      </c>
      <c r="K108" t="str">
        <f>IF(AND(A108&gt;=Campaign!$B$2,A108&lt;=Campaign!$C$2),"CybertruckLaunch",IF(AND(A108&gt;=Campaign!$B$3,A108&lt;=Campaign!$C$3),"ModelYcampaign",IF(AND(A108&gt;=Campaign!$B$4,A108&lt;=Campaign!$C$4),"FSDUpdate",IF(AND(A108&gt;=Campaign!$B$5,A108&lt;=Campaign!$C$5),"SustainabilityDrive","No Campaign"))))</f>
        <v>No Campaign</v>
      </c>
    </row>
    <row r="109" spans="1:11" x14ac:dyDescent="0.35">
      <c r="A109" s="2">
        <v>45628</v>
      </c>
      <c r="B109" s="12">
        <f t="shared" si="3"/>
        <v>27</v>
      </c>
      <c r="C109" s="1" t="s">
        <v>32</v>
      </c>
      <c r="D109">
        <v>452</v>
      </c>
      <c r="E109">
        <v>161</v>
      </c>
      <c r="F109">
        <f>Engagement_Summary[[#This Row],[New_Followers]]-Engagement_Summary[[#This Row],[Unfollows]]</f>
        <v>291</v>
      </c>
      <c r="G109">
        <v>221274</v>
      </c>
      <c r="H109" s="10">
        <f>Engagement_Summary[[#This Row],[Growth]]/Engagement_Summary[[#This Row],[Total_Followers]]</f>
        <v>1.3151115811166245E-3</v>
      </c>
      <c r="I109">
        <v>2.65</v>
      </c>
      <c r="J109">
        <v>40888</v>
      </c>
      <c r="K109" t="str">
        <f>IF(AND(A109&gt;=Campaign!$B$2,A109&lt;=Campaign!$C$2),"CybertruckLaunch",IF(AND(A109&gt;=Campaign!$B$3,A109&lt;=Campaign!$C$3),"ModelYcampaign",IF(AND(A109&gt;=Campaign!$B$4,A109&lt;=Campaign!$C$4),"FSDUpdate",IF(AND(A109&gt;=Campaign!$B$5,A109&lt;=Campaign!$C$5),"SustainabilityDrive","No Campaign"))))</f>
        <v>No Campaign</v>
      </c>
    </row>
    <row r="110" spans="1:11" x14ac:dyDescent="0.35">
      <c r="A110" s="2">
        <v>45635</v>
      </c>
      <c r="B110" s="12">
        <f t="shared" si="3"/>
        <v>28</v>
      </c>
      <c r="C110" s="1" t="s">
        <v>29</v>
      </c>
      <c r="D110">
        <v>1494</v>
      </c>
      <c r="E110">
        <v>375</v>
      </c>
      <c r="F110">
        <f>Engagement_Summary[[#This Row],[New_Followers]]-Engagement_Summary[[#This Row],[Unfollows]]</f>
        <v>1119</v>
      </c>
      <c r="G110">
        <v>220616</v>
      </c>
      <c r="H110" s="10">
        <f>Engagement_Summary[[#This Row],[Growth]]/Engagement_Summary[[#This Row],[Total_Followers]]</f>
        <v>5.0721615839286359E-3</v>
      </c>
      <c r="I110">
        <v>1.81</v>
      </c>
      <c r="J110">
        <v>22724</v>
      </c>
      <c r="K110" t="str">
        <f>IF(AND(A110&gt;=Campaign!$B$2,A110&lt;=Campaign!$C$2),"CybertruckLaunch",IF(AND(A110&gt;=Campaign!$B$3,A110&lt;=Campaign!$C$3),"ModelYcampaign",IF(AND(A110&gt;=Campaign!$B$4,A110&lt;=Campaign!$C$4),"FSDUpdate",IF(AND(A110&gt;=Campaign!$B$5,A110&lt;=Campaign!$C$5),"SustainabilityDrive","No Campaign"))))</f>
        <v>No Campaign</v>
      </c>
    </row>
    <row r="111" spans="1:11" x14ac:dyDescent="0.35">
      <c r="A111" s="2">
        <v>45635</v>
      </c>
      <c r="B111" s="12">
        <f t="shared" si="3"/>
        <v>28</v>
      </c>
      <c r="C111" s="1" t="s">
        <v>30</v>
      </c>
      <c r="D111">
        <v>1514</v>
      </c>
      <c r="E111">
        <v>141</v>
      </c>
      <c r="F111">
        <f>Engagement_Summary[[#This Row],[New_Followers]]-Engagement_Summary[[#This Row],[Unfollows]]</f>
        <v>1373</v>
      </c>
      <c r="G111">
        <v>35842</v>
      </c>
      <c r="H111" s="10">
        <f>Engagement_Summary[[#This Row],[Growth]]/Engagement_Summary[[#This Row],[Total_Followers]]</f>
        <v>3.8307014117515761E-2</v>
      </c>
      <c r="I111">
        <v>7.47</v>
      </c>
      <c r="J111">
        <v>18601</v>
      </c>
      <c r="K111" t="str">
        <f>IF(AND(A111&gt;=Campaign!$B$2,A111&lt;=Campaign!$C$2),"CybertruckLaunch",IF(AND(A111&gt;=Campaign!$B$3,A111&lt;=Campaign!$C$3),"ModelYcampaign",IF(AND(A111&gt;=Campaign!$B$4,A111&lt;=Campaign!$C$4),"FSDUpdate",IF(AND(A111&gt;=Campaign!$B$5,A111&lt;=Campaign!$C$5),"SustainabilityDrive","No Campaign"))))</f>
        <v>No Campaign</v>
      </c>
    </row>
    <row r="112" spans="1:11" x14ac:dyDescent="0.35">
      <c r="A112" s="2">
        <v>45635</v>
      </c>
      <c r="B112" s="12">
        <f t="shared" si="3"/>
        <v>28</v>
      </c>
      <c r="C112" s="1" t="s">
        <v>31</v>
      </c>
      <c r="D112">
        <v>1937</v>
      </c>
      <c r="E112">
        <v>210</v>
      </c>
      <c r="F112">
        <f>Engagement_Summary[[#This Row],[New_Followers]]-Engagement_Summary[[#This Row],[Unfollows]]</f>
        <v>1727</v>
      </c>
      <c r="G112">
        <v>20607</v>
      </c>
      <c r="H112" s="10">
        <f>Engagement_Summary[[#This Row],[Growth]]/Engagement_Summary[[#This Row],[Total_Followers]]</f>
        <v>8.3806473528412681E-2</v>
      </c>
      <c r="I112">
        <v>4.2</v>
      </c>
      <c r="J112">
        <v>20861</v>
      </c>
      <c r="K112" t="str">
        <f>IF(AND(A112&gt;=Campaign!$B$2,A112&lt;=Campaign!$C$2),"CybertruckLaunch",IF(AND(A112&gt;=Campaign!$B$3,A112&lt;=Campaign!$C$3),"ModelYcampaign",IF(AND(A112&gt;=Campaign!$B$4,A112&lt;=Campaign!$C$4),"FSDUpdate",IF(AND(A112&gt;=Campaign!$B$5,A112&lt;=Campaign!$C$5),"SustainabilityDrive","No Campaign"))))</f>
        <v>No Campaign</v>
      </c>
    </row>
    <row r="113" spans="1:11" x14ac:dyDescent="0.35">
      <c r="A113" s="2">
        <v>45635</v>
      </c>
      <c r="B113" s="12">
        <f t="shared" si="3"/>
        <v>28</v>
      </c>
      <c r="C113" s="1" t="s">
        <v>32</v>
      </c>
      <c r="D113">
        <v>736</v>
      </c>
      <c r="E113">
        <v>163</v>
      </c>
      <c r="F113">
        <f>Engagement_Summary[[#This Row],[New_Followers]]-Engagement_Summary[[#This Row],[Unfollows]]</f>
        <v>573</v>
      </c>
      <c r="G113">
        <v>451894</v>
      </c>
      <c r="H113" s="10">
        <f>Engagement_Summary[[#This Row],[Growth]]/Engagement_Summary[[#This Row],[Total_Followers]]</f>
        <v>1.2679964770499277E-3</v>
      </c>
      <c r="I113">
        <v>5.43</v>
      </c>
      <c r="J113">
        <v>46625</v>
      </c>
      <c r="K113" t="str">
        <f>IF(AND(A113&gt;=Campaign!$B$2,A113&lt;=Campaign!$C$2),"CybertruckLaunch",IF(AND(A113&gt;=Campaign!$B$3,A113&lt;=Campaign!$C$3),"ModelYcampaign",IF(AND(A113&gt;=Campaign!$B$4,A113&lt;=Campaign!$C$4),"FSDUpdate",IF(AND(A113&gt;=Campaign!$B$5,A113&lt;=Campaign!$C$5),"SustainabilityDrive","No Campaign"))))</f>
        <v>No Campaign</v>
      </c>
    </row>
    <row r="114" spans="1:11" x14ac:dyDescent="0.35">
      <c r="A114" s="2">
        <v>45642</v>
      </c>
      <c r="B114" s="12">
        <f t="shared" si="3"/>
        <v>29</v>
      </c>
      <c r="C114" s="1" t="s">
        <v>29</v>
      </c>
      <c r="D114">
        <v>1502</v>
      </c>
      <c r="E114">
        <v>70</v>
      </c>
      <c r="F114">
        <f>Engagement_Summary[[#This Row],[New_Followers]]-Engagement_Summary[[#This Row],[Unfollows]]</f>
        <v>1432</v>
      </c>
      <c r="G114">
        <v>465553</v>
      </c>
      <c r="H114" s="10">
        <f>Engagement_Summary[[#This Row],[Growth]]/Engagement_Summary[[#This Row],[Total_Followers]]</f>
        <v>3.0759118725472716E-3</v>
      </c>
      <c r="I114">
        <v>3.32</v>
      </c>
      <c r="J114">
        <v>20692</v>
      </c>
      <c r="K114" t="str">
        <f>IF(AND(A114&gt;=Campaign!$B$2,A114&lt;=Campaign!$C$2),"CybertruckLaunch",IF(AND(A114&gt;=Campaign!$B$3,A114&lt;=Campaign!$C$3),"ModelYcampaign",IF(AND(A114&gt;=Campaign!$B$4,A114&lt;=Campaign!$C$4),"FSDUpdate",IF(AND(A114&gt;=Campaign!$B$5,A114&lt;=Campaign!$C$5),"SustainabilityDrive","No Campaign"))))</f>
        <v>No Campaign</v>
      </c>
    </row>
    <row r="115" spans="1:11" x14ac:dyDescent="0.35">
      <c r="A115" s="2">
        <v>45642</v>
      </c>
      <c r="B115" s="12">
        <f t="shared" si="3"/>
        <v>29</v>
      </c>
      <c r="C115" s="1" t="s">
        <v>30</v>
      </c>
      <c r="D115">
        <v>1623</v>
      </c>
      <c r="E115">
        <v>246</v>
      </c>
      <c r="F115">
        <f>Engagement_Summary[[#This Row],[New_Followers]]-Engagement_Summary[[#This Row],[Unfollows]]</f>
        <v>1377</v>
      </c>
      <c r="G115">
        <v>415815</v>
      </c>
      <c r="H115" s="10">
        <f>Engagement_Summary[[#This Row],[Growth]]/Engagement_Summary[[#This Row],[Total_Followers]]</f>
        <v>3.311568846722701E-3</v>
      </c>
      <c r="I115">
        <v>8.11</v>
      </c>
      <c r="J115">
        <v>18656</v>
      </c>
      <c r="K115" t="str">
        <f>IF(AND(A115&gt;=Campaign!$B$2,A115&lt;=Campaign!$C$2),"CybertruckLaunch",IF(AND(A115&gt;=Campaign!$B$3,A115&lt;=Campaign!$C$3),"ModelYcampaign",IF(AND(A115&gt;=Campaign!$B$4,A115&lt;=Campaign!$C$4),"FSDUpdate",IF(AND(A115&gt;=Campaign!$B$5,A115&lt;=Campaign!$C$5),"SustainabilityDrive","No Campaign"))))</f>
        <v>No Campaign</v>
      </c>
    </row>
    <row r="116" spans="1:11" x14ac:dyDescent="0.35">
      <c r="A116" s="2">
        <v>45642</v>
      </c>
      <c r="B116" s="12">
        <f t="shared" si="3"/>
        <v>29</v>
      </c>
      <c r="C116" s="1" t="s">
        <v>31</v>
      </c>
      <c r="D116">
        <v>1592</v>
      </c>
      <c r="E116">
        <v>233</v>
      </c>
      <c r="F116">
        <f>Engagement_Summary[[#This Row],[New_Followers]]-Engagement_Summary[[#This Row],[Unfollows]]</f>
        <v>1359</v>
      </c>
      <c r="G116">
        <v>327183</v>
      </c>
      <c r="H116" s="10">
        <f>Engagement_Summary[[#This Row],[Growth]]/Engagement_Summary[[#This Row],[Total_Followers]]</f>
        <v>4.1536387893013997E-3</v>
      </c>
      <c r="I116">
        <v>6.66</v>
      </c>
      <c r="J116">
        <v>13316</v>
      </c>
      <c r="K116" t="str">
        <f>IF(AND(A116&gt;=Campaign!$B$2,A116&lt;=Campaign!$C$2),"CybertruckLaunch",IF(AND(A116&gt;=Campaign!$B$3,A116&lt;=Campaign!$C$3),"ModelYcampaign",IF(AND(A116&gt;=Campaign!$B$4,A116&lt;=Campaign!$C$4),"FSDUpdate",IF(AND(A116&gt;=Campaign!$B$5,A116&lt;=Campaign!$C$5),"SustainabilityDrive","No Campaign"))))</f>
        <v>No Campaign</v>
      </c>
    </row>
    <row r="117" spans="1:11" x14ac:dyDescent="0.35">
      <c r="A117" s="2">
        <v>45642</v>
      </c>
      <c r="B117" s="12">
        <f t="shared" si="3"/>
        <v>29</v>
      </c>
      <c r="C117" s="1" t="s">
        <v>32</v>
      </c>
      <c r="D117">
        <v>1004</v>
      </c>
      <c r="E117">
        <v>128</v>
      </c>
      <c r="F117">
        <f>Engagement_Summary[[#This Row],[New_Followers]]-Engagement_Summary[[#This Row],[Unfollows]]</f>
        <v>876</v>
      </c>
      <c r="G117">
        <v>488901</v>
      </c>
      <c r="H117" s="10">
        <f>Engagement_Summary[[#This Row],[Growth]]/Engagement_Summary[[#This Row],[Total_Followers]]</f>
        <v>1.7917737946946315E-3</v>
      </c>
      <c r="I117">
        <v>8.09</v>
      </c>
      <c r="J117">
        <v>49558</v>
      </c>
      <c r="K117" t="str">
        <f>IF(AND(A117&gt;=Campaign!$B$2,A117&lt;=Campaign!$C$2),"CybertruckLaunch",IF(AND(A117&gt;=Campaign!$B$3,A117&lt;=Campaign!$C$3),"ModelYcampaign",IF(AND(A117&gt;=Campaign!$B$4,A117&lt;=Campaign!$C$4),"FSDUpdate",IF(AND(A117&gt;=Campaign!$B$5,A117&lt;=Campaign!$C$5),"SustainabilityDrive","No Campaign"))))</f>
        <v>No Campaign</v>
      </c>
    </row>
    <row r="118" spans="1:11" x14ac:dyDescent="0.35">
      <c r="A118" s="2">
        <v>45649</v>
      </c>
      <c r="B118" s="12">
        <f t="shared" si="3"/>
        <v>30</v>
      </c>
      <c r="C118" s="1" t="s">
        <v>29</v>
      </c>
      <c r="D118">
        <v>1092</v>
      </c>
      <c r="E118">
        <v>408</v>
      </c>
      <c r="F118">
        <f>Engagement_Summary[[#This Row],[New_Followers]]-Engagement_Summary[[#This Row],[Unfollows]]</f>
        <v>684</v>
      </c>
      <c r="G118">
        <v>280795</v>
      </c>
      <c r="H118" s="10">
        <f>Engagement_Summary[[#This Row],[Growth]]/Engagement_Summary[[#This Row],[Total_Followers]]</f>
        <v>2.4359408109118751E-3</v>
      </c>
      <c r="I118">
        <v>8.44</v>
      </c>
      <c r="J118">
        <v>4683</v>
      </c>
      <c r="K118" t="str">
        <f>IF(AND(A118&gt;=Campaign!$B$2,A118&lt;=Campaign!$C$2),"CybertruckLaunch",IF(AND(A118&gt;=Campaign!$B$3,A118&lt;=Campaign!$C$3),"ModelYcampaign",IF(AND(A118&gt;=Campaign!$B$4,A118&lt;=Campaign!$C$4),"FSDUpdate",IF(AND(A118&gt;=Campaign!$B$5,A118&lt;=Campaign!$C$5),"SustainabilityDrive","No Campaign"))))</f>
        <v>No Campaign</v>
      </c>
    </row>
    <row r="119" spans="1:11" x14ac:dyDescent="0.35">
      <c r="A119" s="2">
        <v>45649</v>
      </c>
      <c r="B119" s="12">
        <f t="shared" si="3"/>
        <v>30</v>
      </c>
      <c r="C119" s="1" t="s">
        <v>30</v>
      </c>
      <c r="D119">
        <v>1155</v>
      </c>
      <c r="E119">
        <v>425</v>
      </c>
      <c r="F119">
        <f>Engagement_Summary[[#This Row],[New_Followers]]-Engagement_Summary[[#This Row],[Unfollows]]</f>
        <v>730</v>
      </c>
      <c r="G119">
        <v>93347</v>
      </c>
      <c r="H119" s="10">
        <f>Engagement_Summary[[#This Row],[Growth]]/Engagement_Summary[[#This Row],[Total_Followers]]</f>
        <v>7.8202834584935772E-3</v>
      </c>
      <c r="I119">
        <v>2.02</v>
      </c>
      <c r="J119">
        <v>47502</v>
      </c>
      <c r="K119" t="str">
        <f>IF(AND(A119&gt;=Campaign!$B$2,A119&lt;=Campaign!$C$2),"CybertruckLaunch",IF(AND(A119&gt;=Campaign!$B$3,A119&lt;=Campaign!$C$3),"ModelYcampaign",IF(AND(A119&gt;=Campaign!$B$4,A119&lt;=Campaign!$C$4),"FSDUpdate",IF(AND(A119&gt;=Campaign!$B$5,A119&lt;=Campaign!$C$5),"SustainabilityDrive","No Campaign"))))</f>
        <v>No Campaign</v>
      </c>
    </row>
    <row r="120" spans="1:11" x14ac:dyDescent="0.35">
      <c r="A120" s="2">
        <v>45649</v>
      </c>
      <c r="B120" s="12">
        <f t="shared" si="3"/>
        <v>30</v>
      </c>
      <c r="C120" s="1" t="s">
        <v>31</v>
      </c>
      <c r="D120">
        <v>1137</v>
      </c>
      <c r="E120">
        <v>226</v>
      </c>
      <c r="F120">
        <f>Engagement_Summary[[#This Row],[New_Followers]]-Engagement_Summary[[#This Row],[Unfollows]]</f>
        <v>911</v>
      </c>
      <c r="G120">
        <v>81119</v>
      </c>
      <c r="H120" s="10">
        <f>Engagement_Summary[[#This Row],[Growth]]/Engagement_Summary[[#This Row],[Total_Followers]]</f>
        <v>1.1230414576116569E-2</v>
      </c>
      <c r="I120">
        <v>7.74</v>
      </c>
      <c r="J120">
        <v>35359</v>
      </c>
      <c r="K120" t="str">
        <f>IF(AND(A120&gt;=Campaign!$B$2,A120&lt;=Campaign!$C$2),"CybertruckLaunch",IF(AND(A120&gt;=Campaign!$B$3,A120&lt;=Campaign!$C$3),"ModelYcampaign",IF(AND(A120&gt;=Campaign!$B$4,A120&lt;=Campaign!$C$4),"FSDUpdate",IF(AND(A120&gt;=Campaign!$B$5,A120&lt;=Campaign!$C$5),"SustainabilityDrive","No Campaign"))))</f>
        <v>No Campaign</v>
      </c>
    </row>
    <row r="121" spans="1:11" x14ac:dyDescent="0.35">
      <c r="A121" s="2">
        <v>45649</v>
      </c>
      <c r="B121" s="12">
        <f t="shared" si="3"/>
        <v>30</v>
      </c>
      <c r="C121" s="1" t="s">
        <v>32</v>
      </c>
      <c r="D121">
        <v>1900</v>
      </c>
      <c r="E121">
        <v>311</v>
      </c>
      <c r="F121">
        <f>Engagement_Summary[[#This Row],[New_Followers]]-Engagement_Summary[[#This Row],[Unfollows]]</f>
        <v>1589</v>
      </c>
      <c r="G121">
        <v>25177</v>
      </c>
      <c r="H121" s="10">
        <f>Engagement_Summary[[#This Row],[Growth]]/Engagement_Summary[[#This Row],[Total_Followers]]</f>
        <v>6.3113158835445049E-2</v>
      </c>
      <c r="I121">
        <v>2.89</v>
      </c>
      <c r="J121">
        <v>14154</v>
      </c>
      <c r="K121" t="str">
        <f>IF(AND(A121&gt;=Campaign!$B$2,A121&lt;=Campaign!$C$2),"CybertruckLaunch",IF(AND(A121&gt;=Campaign!$B$3,A121&lt;=Campaign!$C$3),"ModelYcampaign",IF(AND(A121&gt;=Campaign!$B$4,A121&lt;=Campaign!$C$4),"FSDUpdate",IF(AND(A121&gt;=Campaign!$B$5,A121&lt;=Campaign!$C$5),"SustainabilityDrive","No Campaign"))))</f>
        <v>No Campaign</v>
      </c>
    </row>
    <row r="122" spans="1:11" x14ac:dyDescent="0.35">
      <c r="A122" s="2">
        <v>45656</v>
      </c>
      <c r="B122" s="12">
        <f t="shared" si="3"/>
        <v>31</v>
      </c>
      <c r="C122" s="1" t="s">
        <v>29</v>
      </c>
      <c r="D122">
        <v>1814</v>
      </c>
      <c r="E122">
        <v>49</v>
      </c>
      <c r="F122">
        <f>Engagement_Summary[[#This Row],[New_Followers]]-Engagement_Summary[[#This Row],[Unfollows]]</f>
        <v>1765</v>
      </c>
      <c r="G122">
        <v>140804</v>
      </c>
      <c r="H122" s="10">
        <f>Engagement_Summary[[#This Row],[Growth]]/Engagement_Summary[[#This Row],[Total_Followers]]</f>
        <v>1.253515525127127E-2</v>
      </c>
      <c r="I122">
        <v>1.76</v>
      </c>
      <c r="J122">
        <v>4313</v>
      </c>
      <c r="K122" t="str">
        <f>IF(AND(A122&gt;=Campaign!$B$2,A122&lt;=Campaign!$C$2),"CybertruckLaunch",IF(AND(A122&gt;=Campaign!$B$3,A122&lt;=Campaign!$C$3),"ModelYcampaign",IF(AND(A122&gt;=Campaign!$B$4,A122&lt;=Campaign!$C$4),"FSDUpdate",IF(AND(A122&gt;=Campaign!$B$5,A122&lt;=Campaign!$C$5),"SustainabilityDrive","No Campaign"))))</f>
        <v>FSDUpdate</v>
      </c>
    </row>
    <row r="123" spans="1:11" x14ac:dyDescent="0.35">
      <c r="A123" s="2">
        <v>45656</v>
      </c>
      <c r="B123" s="12">
        <f t="shared" si="3"/>
        <v>31</v>
      </c>
      <c r="C123" s="1" t="s">
        <v>30</v>
      </c>
      <c r="D123">
        <v>1980</v>
      </c>
      <c r="E123">
        <v>204</v>
      </c>
      <c r="F123">
        <f>Engagement_Summary[[#This Row],[New_Followers]]-Engagement_Summary[[#This Row],[Unfollows]]</f>
        <v>1776</v>
      </c>
      <c r="G123">
        <v>379431</v>
      </c>
      <c r="H123" s="10">
        <f>Engagement_Summary[[#This Row],[Growth]]/Engagement_Summary[[#This Row],[Total_Followers]]</f>
        <v>4.6806929323118035E-3</v>
      </c>
      <c r="I123">
        <v>3.09</v>
      </c>
      <c r="J123">
        <v>25140</v>
      </c>
      <c r="K123" t="str">
        <f>IF(AND(A123&gt;=Campaign!$B$2,A123&lt;=Campaign!$C$2),"CybertruckLaunch",IF(AND(A123&gt;=Campaign!$B$3,A123&lt;=Campaign!$C$3),"ModelYcampaign",IF(AND(A123&gt;=Campaign!$B$4,A123&lt;=Campaign!$C$4),"FSDUpdate",IF(AND(A123&gt;=Campaign!$B$5,A123&lt;=Campaign!$C$5),"SustainabilityDrive","No Campaign"))))</f>
        <v>FSDUpdate</v>
      </c>
    </row>
    <row r="124" spans="1:11" x14ac:dyDescent="0.35">
      <c r="A124" s="2">
        <v>45656</v>
      </c>
      <c r="B124" s="12">
        <f t="shared" si="3"/>
        <v>31</v>
      </c>
      <c r="C124" s="1" t="s">
        <v>31</v>
      </c>
      <c r="D124">
        <v>1786</v>
      </c>
      <c r="E124">
        <v>257</v>
      </c>
      <c r="F124">
        <f>Engagement_Summary[[#This Row],[New_Followers]]-Engagement_Summary[[#This Row],[Unfollows]]</f>
        <v>1529</v>
      </c>
      <c r="G124">
        <v>274831</v>
      </c>
      <c r="H124" s="10">
        <f>Engagement_Summary[[#This Row],[Growth]]/Engagement_Summary[[#This Row],[Total_Followers]]</f>
        <v>5.5634189738421064E-3</v>
      </c>
      <c r="I124">
        <v>4.68</v>
      </c>
      <c r="J124">
        <v>9118</v>
      </c>
      <c r="K124" t="str">
        <f>IF(AND(A124&gt;=Campaign!$B$2,A124&lt;=Campaign!$C$2),"CybertruckLaunch",IF(AND(A124&gt;=Campaign!$B$3,A124&lt;=Campaign!$C$3),"ModelYcampaign",IF(AND(A124&gt;=Campaign!$B$4,A124&lt;=Campaign!$C$4),"FSDUpdate",IF(AND(A124&gt;=Campaign!$B$5,A124&lt;=Campaign!$C$5),"SustainabilityDrive","No Campaign"))))</f>
        <v>FSDUpdate</v>
      </c>
    </row>
    <row r="125" spans="1:11" x14ac:dyDescent="0.35">
      <c r="A125" s="2">
        <v>45656</v>
      </c>
      <c r="B125" s="12">
        <f t="shared" si="3"/>
        <v>31</v>
      </c>
      <c r="C125" s="1" t="s">
        <v>32</v>
      </c>
      <c r="D125">
        <v>1495</v>
      </c>
      <c r="E125">
        <v>35</v>
      </c>
      <c r="F125">
        <f>Engagement_Summary[[#This Row],[New_Followers]]-Engagement_Summary[[#This Row],[Unfollows]]</f>
        <v>1460</v>
      </c>
      <c r="G125">
        <v>136845</v>
      </c>
      <c r="H125" s="10">
        <f>Engagement_Summary[[#This Row],[Growth]]/Engagement_Summary[[#This Row],[Total_Followers]]</f>
        <v>1.0669005078738719E-2</v>
      </c>
      <c r="I125">
        <v>4.4800000000000004</v>
      </c>
      <c r="J125">
        <v>39931</v>
      </c>
      <c r="K125" t="str">
        <f>IF(AND(A125&gt;=Campaign!$B$2,A125&lt;=Campaign!$C$2),"CybertruckLaunch",IF(AND(A125&gt;=Campaign!$B$3,A125&lt;=Campaign!$C$3),"ModelYcampaign",IF(AND(A125&gt;=Campaign!$B$4,A125&lt;=Campaign!$C$4),"FSDUpdate",IF(AND(A125&gt;=Campaign!$B$5,A125&lt;=Campaign!$C$5),"SustainabilityDrive","No Campaign"))))</f>
        <v>FSDUpdate</v>
      </c>
    </row>
    <row r="126" spans="1:11" x14ac:dyDescent="0.35">
      <c r="A126" s="2">
        <v>45663</v>
      </c>
      <c r="B126" s="12">
        <f t="shared" si="3"/>
        <v>32</v>
      </c>
      <c r="C126" s="1" t="s">
        <v>29</v>
      </c>
      <c r="D126">
        <v>1013</v>
      </c>
      <c r="E126">
        <v>110</v>
      </c>
      <c r="F126">
        <f>Engagement_Summary[[#This Row],[New_Followers]]-Engagement_Summary[[#This Row],[Unfollows]]</f>
        <v>903</v>
      </c>
      <c r="G126">
        <v>466382</v>
      </c>
      <c r="H126" s="10">
        <f>Engagement_Summary[[#This Row],[Growth]]/Engagement_Summary[[#This Row],[Total_Followers]]</f>
        <v>1.9361810704529763E-3</v>
      </c>
      <c r="I126">
        <v>5.3</v>
      </c>
      <c r="J126">
        <v>37132</v>
      </c>
      <c r="K126" t="str">
        <f>IF(AND(A126&gt;=Campaign!$B$2,A126&lt;=Campaign!$C$2),"CybertruckLaunch",IF(AND(A126&gt;=Campaign!$B$3,A126&lt;=Campaign!$C$3),"ModelYcampaign",IF(AND(A126&gt;=Campaign!$B$4,A126&lt;=Campaign!$C$4),"FSDUpdate",IF(AND(A126&gt;=Campaign!$B$5,A126&lt;=Campaign!$C$5),"SustainabilityDrive","No Campaign"))))</f>
        <v>FSDUpdate</v>
      </c>
    </row>
    <row r="127" spans="1:11" x14ac:dyDescent="0.35">
      <c r="A127" s="2">
        <v>45663</v>
      </c>
      <c r="B127" s="12">
        <f t="shared" si="3"/>
        <v>32</v>
      </c>
      <c r="C127" s="1" t="s">
        <v>30</v>
      </c>
      <c r="D127">
        <v>816</v>
      </c>
      <c r="E127">
        <v>196</v>
      </c>
      <c r="F127">
        <f>Engagement_Summary[[#This Row],[New_Followers]]-Engagement_Summary[[#This Row],[Unfollows]]</f>
        <v>620</v>
      </c>
      <c r="G127">
        <v>95728</v>
      </c>
      <c r="H127" s="10">
        <f>Engagement_Summary[[#This Row],[Growth]]/Engagement_Summary[[#This Row],[Total_Followers]]</f>
        <v>6.4766839378238338E-3</v>
      </c>
      <c r="I127">
        <v>8.1999999999999993</v>
      </c>
      <c r="J127">
        <v>17951</v>
      </c>
      <c r="K127" t="str">
        <f>IF(AND(A127&gt;=Campaign!$B$2,A127&lt;=Campaign!$C$2),"CybertruckLaunch",IF(AND(A127&gt;=Campaign!$B$3,A127&lt;=Campaign!$C$3),"ModelYcampaign",IF(AND(A127&gt;=Campaign!$B$4,A127&lt;=Campaign!$C$4),"FSDUpdate",IF(AND(A127&gt;=Campaign!$B$5,A127&lt;=Campaign!$C$5),"SustainabilityDrive","No Campaign"))))</f>
        <v>FSDUpdate</v>
      </c>
    </row>
    <row r="128" spans="1:11" x14ac:dyDescent="0.35">
      <c r="A128" s="2">
        <v>45663</v>
      </c>
      <c r="B128" s="12">
        <f t="shared" si="3"/>
        <v>32</v>
      </c>
      <c r="C128" s="1" t="s">
        <v>31</v>
      </c>
      <c r="D128">
        <v>1633</v>
      </c>
      <c r="E128">
        <v>445</v>
      </c>
      <c r="F128">
        <f>Engagement_Summary[[#This Row],[New_Followers]]-Engagement_Summary[[#This Row],[Unfollows]]</f>
        <v>1188</v>
      </c>
      <c r="G128">
        <v>371156</v>
      </c>
      <c r="H128" s="10">
        <f>Engagement_Summary[[#This Row],[Growth]]/Engagement_Summary[[#This Row],[Total_Followers]]</f>
        <v>3.2008104408927781E-3</v>
      </c>
      <c r="I128">
        <v>2.2200000000000002</v>
      </c>
      <c r="J128">
        <v>2798</v>
      </c>
      <c r="K128" t="str">
        <f>IF(AND(A128&gt;=Campaign!$B$2,A128&lt;=Campaign!$C$2),"CybertruckLaunch",IF(AND(A128&gt;=Campaign!$B$3,A128&lt;=Campaign!$C$3),"ModelYcampaign",IF(AND(A128&gt;=Campaign!$B$4,A128&lt;=Campaign!$C$4),"FSDUpdate",IF(AND(A128&gt;=Campaign!$B$5,A128&lt;=Campaign!$C$5),"SustainabilityDrive","No Campaign"))))</f>
        <v>FSDUpdate</v>
      </c>
    </row>
    <row r="129" spans="1:11" x14ac:dyDescent="0.35">
      <c r="A129" s="2">
        <v>45663</v>
      </c>
      <c r="B129" s="12">
        <f t="shared" si="3"/>
        <v>32</v>
      </c>
      <c r="C129" s="1" t="s">
        <v>32</v>
      </c>
      <c r="D129">
        <v>891</v>
      </c>
      <c r="E129">
        <v>45</v>
      </c>
      <c r="F129">
        <f>Engagement_Summary[[#This Row],[New_Followers]]-Engagement_Summary[[#This Row],[Unfollows]]</f>
        <v>846</v>
      </c>
      <c r="G129">
        <v>95410</v>
      </c>
      <c r="H129" s="10">
        <f>Engagement_Summary[[#This Row],[Growth]]/Engagement_Summary[[#This Row],[Total_Followers]]</f>
        <v>8.8669950738916262E-3</v>
      </c>
      <c r="I129">
        <v>8.33</v>
      </c>
      <c r="J129">
        <v>15045</v>
      </c>
      <c r="K129" t="str">
        <f>IF(AND(A129&gt;=Campaign!$B$2,A129&lt;=Campaign!$C$2),"CybertruckLaunch",IF(AND(A129&gt;=Campaign!$B$3,A129&lt;=Campaign!$C$3),"ModelYcampaign",IF(AND(A129&gt;=Campaign!$B$4,A129&lt;=Campaign!$C$4),"FSDUpdate",IF(AND(A129&gt;=Campaign!$B$5,A129&lt;=Campaign!$C$5),"SustainabilityDrive","No Campaign"))))</f>
        <v>FSDUpdate</v>
      </c>
    </row>
    <row r="130" spans="1:11" x14ac:dyDescent="0.35">
      <c r="A130" s="2">
        <v>45670</v>
      </c>
      <c r="B130" s="12">
        <f t="shared" ref="B130:B161" si="4">MATCH(A130,_xlfn.UNIQUE($A$2:$A$200),0)</f>
        <v>33</v>
      </c>
      <c r="C130" s="1" t="s">
        <v>29</v>
      </c>
      <c r="D130">
        <v>1855</v>
      </c>
      <c r="E130">
        <v>133</v>
      </c>
      <c r="F130">
        <f>Engagement_Summary[[#This Row],[New_Followers]]-Engagement_Summary[[#This Row],[Unfollows]]</f>
        <v>1722</v>
      </c>
      <c r="G130">
        <v>349413</v>
      </c>
      <c r="H130" s="10">
        <f>Engagement_Summary[[#This Row],[Growth]]/Engagement_Summary[[#This Row],[Total_Followers]]</f>
        <v>4.9282654051223049E-3</v>
      </c>
      <c r="I130">
        <v>3.3</v>
      </c>
      <c r="J130">
        <v>14548</v>
      </c>
      <c r="K130" t="str">
        <f>IF(AND(A130&gt;=Campaign!$B$2,A130&lt;=Campaign!$C$2),"CybertruckLaunch",IF(AND(A130&gt;=Campaign!$B$3,A130&lt;=Campaign!$C$3),"ModelYcampaign",IF(AND(A130&gt;=Campaign!$B$4,A130&lt;=Campaign!$C$4),"FSDUpdate",IF(AND(A130&gt;=Campaign!$B$5,A130&lt;=Campaign!$C$5),"SustainabilityDrive","No Campaign"))))</f>
        <v>No Campaign</v>
      </c>
    </row>
    <row r="131" spans="1:11" x14ac:dyDescent="0.35">
      <c r="A131" s="2">
        <v>45670</v>
      </c>
      <c r="B131" s="12">
        <f t="shared" si="4"/>
        <v>33</v>
      </c>
      <c r="C131" s="1" t="s">
        <v>30</v>
      </c>
      <c r="D131">
        <v>651</v>
      </c>
      <c r="E131">
        <v>353</v>
      </c>
      <c r="F131">
        <f>Engagement_Summary[[#This Row],[New_Followers]]-Engagement_Summary[[#This Row],[Unfollows]]</f>
        <v>298</v>
      </c>
      <c r="G131">
        <v>224699</v>
      </c>
      <c r="H131" s="10">
        <f>Engagement_Summary[[#This Row],[Growth]]/Engagement_Summary[[#This Row],[Total_Followers]]</f>
        <v>1.3262186302564765E-3</v>
      </c>
      <c r="I131">
        <v>5.61</v>
      </c>
      <c r="J131">
        <v>45708</v>
      </c>
      <c r="K131" t="str">
        <f>IF(AND(A131&gt;=Campaign!$B$2,A131&lt;=Campaign!$C$2),"CybertruckLaunch",IF(AND(A131&gt;=Campaign!$B$3,A131&lt;=Campaign!$C$3),"ModelYcampaign",IF(AND(A131&gt;=Campaign!$B$4,A131&lt;=Campaign!$C$4),"FSDUpdate",IF(AND(A131&gt;=Campaign!$B$5,A131&lt;=Campaign!$C$5),"SustainabilityDrive","No Campaign"))))</f>
        <v>No Campaign</v>
      </c>
    </row>
    <row r="132" spans="1:11" x14ac:dyDescent="0.35">
      <c r="A132" s="2">
        <v>45670</v>
      </c>
      <c r="B132" s="12">
        <f t="shared" si="4"/>
        <v>33</v>
      </c>
      <c r="C132" s="1" t="s">
        <v>31</v>
      </c>
      <c r="D132">
        <v>118</v>
      </c>
      <c r="E132">
        <v>262</v>
      </c>
      <c r="F132">
        <f>Engagement_Summary[[#This Row],[New_Followers]]-Engagement_Summary[[#This Row],[Unfollows]]</f>
        <v>-144</v>
      </c>
      <c r="G132">
        <v>487896</v>
      </c>
      <c r="H132" s="10">
        <f>Engagement_Summary[[#This Row],[Growth]]/Engagement_Summary[[#This Row],[Total_Followers]]</f>
        <v>-2.9514486693885583E-4</v>
      </c>
      <c r="I132">
        <v>2.56</v>
      </c>
      <c r="J132">
        <v>12350</v>
      </c>
      <c r="K132" t="str">
        <f>IF(AND(A132&gt;=Campaign!$B$2,A132&lt;=Campaign!$C$2),"CybertruckLaunch",IF(AND(A132&gt;=Campaign!$B$3,A132&lt;=Campaign!$C$3),"ModelYcampaign",IF(AND(A132&gt;=Campaign!$B$4,A132&lt;=Campaign!$C$4),"FSDUpdate",IF(AND(A132&gt;=Campaign!$B$5,A132&lt;=Campaign!$C$5),"SustainabilityDrive","No Campaign"))))</f>
        <v>No Campaign</v>
      </c>
    </row>
    <row r="133" spans="1:11" x14ac:dyDescent="0.35">
      <c r="A133" s="2">
        <v>45670</v>
      </c>
      <c r="B133" s="12">
        <f t="shared" si="4"/>
        <v>33</v>
      </c>
      <c r="C133" s="1" t="s">
        <v>32</v>
      </c>
      <c r="D133">
        <v>1331</v>
      </c>
      <c r="E133">
        <v>430</v>
      </c>
      <c r="F133">
        <f>Engagement_Summary[[#This Row],[New_Followers]]-Engagement_Summary[[#This Row],[Unfollows]]</f>
        <v>901</v>
      </c>
      <c r="G133">
        <v>14437</v>
      </c>
      <c r="H133" s="10">
        <f>Engagement_Summary[[#This Row],[Growth]]/Engagement_Summary[[#This Row],[Total_Followers]]</f>
        <v>6.2409087760615087E-2</v>
      </c>
      <c r="I133">
        <v>3.29</v>
      </c>
      <c r="J133">
        <v>40868</v>
      </c>
      <c r="K133" t="str">
        <f>IF(AND(A133&gt;=Campaign!$B$2,A133&lt;=Campaign!$C$2),"CybertruckLaunch",IF(AND(A133&gt;=Campaign!$B$3,A133&lt;=Campaign!$C$3),"ModelYcampaign",IF(AND(A133&gt;=Campaign!$B$4,A133&lt;=Campaign!$C$4),"FSDUpdate",IF(AND(A133&gt;=Campaign!$B$5,A133&lt;=Campaign!$C$5),"SustainabilityDrive","No Campaign"))))</f>
        <v>No Campaign</v>
      </c>
    </row>
    <row r="134" spans="1:11" x14ac:dyDescent="0.35">
      <c r="A134" s="2">
        <v>45677</v>
      </c>
      <c r="B134" s="12">
        <f t="shared" si="4"/>
        <v>34</v>
      </c>
      <c r="C134" s="1" t="s">
        <v>29</v>
      </c>
      <c r="D134">
        <v>1748</v>
      </c>
      <c r="E134">
        <v>176</v>
      </c>
      <c r="F134">
        <f>Engagement_Summary[[#This Row],[New_Followers]]-Engagement_Summary[[#This Row],[Unfollows]]</f>
        <v>1572</v>
      </c>
      <c r="G134">
        <v>383681</v>
      </c>
      <c r="H134" s="10">
        <f>Engagement_Summary[[#This Row],[Growth]]/Engagement_Summary[[#This Row],[Total_Followers]]</f>
        <v>4.0971536250166149E-3</v>
      </c>
      <c r="I134">
        <v>9.24</v>
      </c>
      <c r="J134">
        <v>43122</v>
      </c>
      <c r="K134" t="str">
        <f>IF(AND(A134&gt;=Campaign!$B$2,A134&lt;=Campaign!$C$2),"CybertruckLaunch",IF(AND(A134&gt;=Campaign!$B$3,A134&lt;=Campaign!$C$3),"ModelYcampaign",IF(AND(A134&gt;=Campaign!$B$4,A134&lt;=Campaign!$C$4),"FSDUpdate",IF(AND(A134&gt;=Campaign!$B$5,A134&lt;=Campaign!$C$5),"SustainabilityDrive","No Campaign"))))</f>
        <v>No Campaign</v>
      </c>
    </row>
    <row r="135" spans="1:11" x14ac:dyDescent="0.35">
      <c r="A135" s="2">
        <v>45677</v>
      </c>
      <c r="B135" s="12">
        <f t="shared" si="4"/>
        <v>34</v>
      </c>
      <c r="C135" s="1" t="s">
        <v>30</v>
      </c>
      <c r="D135">
        <v>663</v>
      </c>
      <c r="E135">
        <v>236</v>
      </c>
      <c r="F135">
        <f>Engagement_Summary[[#This Row],[New_Followers]]-Engagement_Summary[[#This Row],[Unfollows]]</f>
        <v>427</v>
      </c>
      <c r="G135">
        <v>479490</v>
      </c>
      <c r="H135" s="10">
        <f>Engagement_Summary[[#This Row],[Growth]]/Engagement_Summary[[#This Row],[Total_Followers]]</f>
        <v>8.9052952094934197E-4</v>
      </c>
      <c r="I135">
        <v>4.51</v>
      </c>
      <c r="J135">
        <v>23853</v>
      </c>
      <c r="K135" t="str">
        <f>IF(AND(A135&gt;=Campaign!$B$2,A135&lt;=Campaign!$C$2),"CybertruckLaunch",IF(AND(A135&gt;=Campaign!$B$3,A135&lt;=Campaign!$C$3),"ModelYcampaign",IF(AND(A135&gt;=Campaign!$B$4,A135&lt;=Campaign!$C$4),"FSDUpdate",IF(AND(A135&gt;=Campaign!$B$5,A135&lt;=Campaign!$C$5),"SustainabilityDrive","No Campaign"))))</f>
        <v>No Campaign</v>
      </c>
    </row>
    <row r="136" spans="1:11" x14ac:dyDescent="0.35">
      <c r="A136" s="2">
        <v>45677</v>
      </c>
      <c r="B136" s="12">
        <f t="shared" si="4"/>
        <v>34</v>
      </c>
      <c r="C136" s="1" t="s">
        <v>31</v>
      </c>
      <c r="D136">
        <v>1040</v>
      </c>
      <c r="E136">
        <v>149</v>
      </c>
      <c r="F136">
        <f>Engagement_Summary[[#This Row],[New_Followers]]-Engagement_Summary[[#This Row],[Unfollows]]</f>
        <v>891</v>
      </c>
      <c r="G136">
        <v>124404</v>
      </c>
      <c r="H136" s="10">
        <f>Engagement_Summary[[#This Row],[Growth]]/Engagement_Summary[[#This Row],[Total_Followers]]</f>
        <v>7.1621491270377159E-3</v>
      </c>
      <c r="I136">
        <v>5.23</v>
      </c>
      <c r="J136">
        <v>45380</v>
      </c>
      <c r="K136" t="str">
        <f>IF(AND(A136&gt;=Campaign!$B$2,A136&lt;=Campaign!$C$2),"CybertruckLaunch",IF(AND(A136&gt;=Campaign!$B$3,A136&lt;=Campaign!$C$3),"ModelYcampaign",IF(AND(A136&gt;=Campaign!$B$4,A136&lt;=Campaign!$C$4),"FSDUpdate",IF(AND(A136&gt;=Campaign!$B$5,A136&lt;=Campaign!$C$5),"SustainabilityDrive","No Campaign"))))</f>
        <v>No Campaign</v>
      </c>
    </row>
    <row r="137" spans="1:11" x14ac:dyDescent="0.35">
      <c r="A137" s="2">
        <v>45677</v>
      </c>
      <c r="B137" s="12">
        <f t="shared" si="4"/>
        <v>34</v>
      </c>
      <c r="C137" s="1" t="s">
        <v>32</v>
      </c>
      <c r="D137">
        <v>1166</v>
      </c>
      <c r="E137">
        <v>442</v>
      </c>
      <c r="F137">
        <f>Engagement_Summary[[#This Row],[New_Followers]]-Engagement_Summary[[#This Row],[Unfollows]]</f>
        <v>724</v>
      </c>
      <c r="G137">
        <v>336949</v>
      </c>
      <c r="H137" s="10">
        <f>Engagement_Summary[[#This Row],[Growth]]/Engagement_Summary[[#This Row],[Total_Followers]]</f>
        <v>2.1486931256659019E-3</v>
      </c>
      <c r="I137">
        <v>4.68</v>
      </c>
      <c r="J137">
        <v>7705</v>
      </c>
      <c r="K137" t="str">
        <f>IF(AND(A137&gt;=Campaign!$B$2,A137&lt;=Campaign!$C$2),"CybertruckLaunch",IF(AND(A137&gt;=Campaign!$B$3,A137&lt;=Campaign!$C$3),"ModelYcampaign",IF(AND(A137&gt;=Campaign!$B$4,A137&lt;=Campaign!$C$4),"FSDUpdate",IF(AND(A137&gt;=Campaign!$B$5,A137&lt;=Campaign!$C$5),"SustainabilityDrive","No Campaign"))))</f>
        <v>No Campaign</v>
      </c>
    </row>
    <row r="138" spans="1:11" x14ac:dyDescent="0.35">
      <c r="A138" s="2">
        <v>45684</v>
      </c>
      <c r="B138" s="12">
        <f t="shared" si="4"/>
        <v>35</v>
      </c>
      <c r="C138" s="1" t="s">
        <v>29</v>
      </c>
      <c r="D138">
        <v>115</v>
      </c>
      <c r="E138">
        <v>281</v>
      </c>
      <c r="F138">
        <f>Engagement_Summary[[#This Row],[New_Followers]]-Engagement_Summary[[#This Row],[Unfollows]]</f>
        <v>-166</v>
      </c>
      <c r="G138">
        <v>357265</v>
      </c>
      <c r="H138" s="10">
        <f>Engagement_Summary[[#This Row],[Growth]]/Engagement_Summary[[#This Row],[Total_Followers]]</f>
        <v>-4.6464109274628077E-4</v>
      </c>
      <c r="I138">
        <v>9.23</v>
      </c>
      <c r="J138">
        <v>25525</v>
      </c>
      <c r="K138" t="str">
        <f>IF(AND(A138&gt;=Campaign!$B$2,A138&lt;=Campaign!$C$2),"CybertruckLaunch",IF(AND(A138&gt;=Campaign!$B$3,A138&lt;=Campaign!$C$3),"ModelYcampaign",IF(AND(A138&gt;=Campaign!$B$4,A138&lt;=Campaign!$C$4),"FSDUpdate",IF(AND(A138&gt;=Campaign!$B$5,A138&lt;=Campaign!$C$5),"SustainabilityDrive","No Campaign"))))</f>
        <v>No Campaign</v>
      </c>
    </row>
    <row r="139" spans="1:11" x14ac:dyDescent="0.35">
      <c r="A139" s="2">
        <v>45684</v>
      </c>
      <c r="B139" s="12">
        <f t="shared" si="4"/>
        <v>35</v>
      </c>
      <c r="C139" s="1" t="s">
        <v>30</v>
      </c>
      <c r="D139">
        <v>1249</v>
      </c>
      <c r="E139">
        <v>351</v>
      </c>
      <c r="F139">
        <f>Engagement_Summary[[#This Row],[New_Followers]]-Engagement_Summary[[#This Row],[Unfollows]]</f>
        <v>898</v>
      </c>
      <c r="G139">
        <v>321307</v>
      </c>
      <c r="H139" s="10">
        <f>Engagement_Summary[[#This Row],[Growth]]/Engagement_Summary[[#This Row],[Total_Followers]]</f>
        <v>2.7948348464241365E-3</v>
      </c>
      <c r="I139">
        <v>6.37</v>
      </c>
      <c r="J139">
        <v>20560</v>
      </c>
      <c r="K139" t="str">
        <f>IF(AND(A139&gt;=Campaign!$B$2,A139&lt;=Campaign!$C$2),"CybertruckLaunch",IF(AND(A139&gt;=Campaign!$B$3,A139&lt;=Campaign!$C$3),"ModelYcampaign",IF(AND(A139&gt;=Campaign!$B$4,A139&lt;=Campaign!$C$4),"FSDUpdate",IF(AND(A139&gt;=Campaign!$B$5,A139&lt;=Campaign!$C$5),"SustainabilityDrive","No Campaign"))))</f>
        <v>No Campaign</v>
      </c>
    </row>
    <row r="140" spans="1:11" x14ac:dyDescent="0.35">
      <c r="A140" s="2">
        <v>45684</v>
      </c>
      <c r="B140" s="12">
        <f t="shared" si="4"/>
        <v>35</v>
      </c>
      <c r="C140" s="1" t="s">
        <v>31</v>
      </c>
      <c r="D140">
        <v>1501</v>
      </c>
      <c r="E140">
        <v>75</v>
      </c>
      <c r="F140">
        <f>Engagement_Summary[[#This Row],[New_Followers]]-Engagement_Summary[[#This Row],[Unfollows]]</f>
        <v>1426</v>
      </c>
      <c r="G140">
        <v>262569</v>
      </c>
      <c r="H140" s="10">
        <f>Engagement_Summary[[#This Row],[Growth]]/Engagement_Summary[[#This Row],[Total_Followers]]</f>
        <v>5.4309533874905263E-3</v>
      </c>
      <c r="I140">
        <v>2.0099999999999998</v>
      </c>
      <c r="J140">
        <v>19119</v>
      </c>
      <c r="K140" t="str">
        <f>IF(AND(A140&gt;=Campaign!$B$2,A140&lt;=Campaign!$C$2),"CybertruckLaunch",IF(AND(A140&gt;=Campaign!$B$3,A140&lt;=Campaign!$C$3),"ModelYcampaign",IF(AND(A140&gt;=Campaign!$B$4,A140&lt;=Campaign!$C$4),"FSDUpdate",IF(AND(A140&gt;=Campaign!$B$5,A140&lt;=Campaign!$C$5),"SustainabilityDrive","No Campaign"))))</f>
        <v>No Campaign</v>
      </c>
    </row>
    <row r="141" spans="1:11" x14ac:dyDescent="0.35">
      <c r="A141" s="2">
        <v>45684</v>
      </c>
      <c r="B141" s="12">
        <f t="shared" si="4"/>
        <v>35</v>
      </c>
      <c r="C141" s="1" t="s">
        <v>32</v>
      </c>
      <c r="D141">
        <v>1411</v>
      </c>
      <c r="E141">
        <v>186</v>
      </c>
      <c r="F141">
        <f>Engagement_Summary[[#This Row],[New_Followers]]-Engagement_Summary[[#This Row],[Unfollows]]</f>
        <v>1225</v>
      </c>
      <c r="G141">
        <v>461669</v>
      </c>
      <c r="H141" s="10">
        <f>Engagement_Summary[[#This Row],[Growth]]/Engagement_Summary[[#This Row],[Total_Followers]]</f>
        <v>2.6534161921203288E-3</v>
      </c>
      <c r="I141">
        <v>3.72</v>
      </c>
      <c r="J141">
        <v>43999</v>
      </c>
      <c r="K141" t="str">
        <f>IF(AND(A141&gt;=Campaign!$B$2,A141&lt;=Campaign!$C$2),"CybertruckLaunch",IF(AND(A141&gt;=Campaign!$B$3,A141&lt;=Campaign!$C$3),"ModelYcampaign",IF(AND(A141&gt;=Campaign!$B$4,A141&lt;=Campaign!$C$4),"FSDUpdate",IF(AND(A141&gt;=Campaign!$B$5,A141&lt;=Campaign!$C$5),"SustainabilityDrive","No Campaign"))))</f>
        <v>No Campaign</v>
      </c>
    </row>
    <row r="142" spans="1:11" x14ac:dyDescent="0.35">
      <c r="A142" s="2">
        <v>45691</v>
      </c>
      <c r="B142" s="12">
        <f t="shared" si="4"/>
        <v>36</v>
      </c>
      <c r="C142" s="1" t="s">
        <v>29</v>
      </c>
      <c r="D142">
        <v>1556</v>
      </c>
      <c r="E142">
        <v>476</v>
      </c>
      <c r="F142">
        <f>Engagement_Summary[[#This Row],[New_Followers]]-Engagement_Summary[[#This Row],[Unfollows]]</f>
        <v>1080</v>
      </c>
      <c r="G142">
        <v>351556</v>
      </c>
      <c r="H142" s="10">
        <f>Engagement_Summary[[#This Row],[Growth]]/Engagement_Summary[[#This Row],[Total_Followers]]</f>
        <v>3.0720567989168156E-3</v>
      </c>
      <c r="I142">
        <v>3.89</v>
      </c>
      <c r="J142">
        <v>10825</v>
      </c>
      <c r="K142" t="str">
        <f>IF(AND(A142&gt;=Campaign!$B$2,A142&lt;=Campaign!$C$2),"CybertruckLaunch",IF(AND(A142&gt;=Campaign!$B$3,A142&lt;=Campaign!$C$3),"ModelYcampaign",IF(AND(A142&gt;=Campaign!$B$4,A142&lt;=Campaign!$C$4),"FSDUpdate",IF(AND(A142&gt;=Campaign!$B$5,A142&lt;=Campaign!$C$5),"SustainabilityDrive","No Campaign"))))</f>
        <v>No Campaign</v>
      </c>
    </row>
    <row r="143" spans="1:11" x14ac:dyDescent="0.35">
      <c r="A143" s="2">
        <v>45691</v>
      </c>
      <c r="B143" s="12">
        <f t="shared" si="4"/>
        <v>36</v>
      </c>
      <c r="C143" s="1" t="s">
        <v>30</v>
      </c>
      <c r="D143">
        <v>1159</v>
      </c>
      <c r="E143">
        <v>411</v>
      </c>
      <c r="F143">
        <f>Engagement_Summary[[#This Row],[New_Followers]]-Engagement_Summary[[#This Row],[Unfollows]]</f>
        <v>748</v>
      </c>
      <c r="G143">
        <v>135987</v>
      </c>
      <c r="H143" s="10">
        <f>Engagement_Summary[[#This Row],[Growth]]/Engagement_Summary[[#This Row],[Total_Followers]]</f>
        <v>5.5005257855530306E-3</v>
      </c>
      <c r="I143">
        <v>8.6999999999999993</v>
      </c>
      <c r="J143">
        <v>40323</v>
      </c>
      <c r="K143" t="str">
        <f>IF(AND(A143&gt;=Campaign!$B$2,A143&lt;=Campaign!$C$2),"CybertruckLaunch",IF(AND(A143&gt;=Campaign!$B$3,A143&lt;=Campaign!$C$3),"ModelYcampaign",IF(AND(A143&gt;=Campaign!$B$4,A143&lt;=Campaign!$C$4),"FSDUpdate",IF(AND(A143&gt;=Campaign!$B$5,A143&lt;=Campaign!$C$5),"SustainabilityDrive","No Campaign"))))</f>
        <v>No Campaign</v>
      </c>
    </row>
    <row r="144" spans="1:11" x14ac:dyDescent="0.35">
      <c r="A144" s="2">
        <v>45691</v>
      </c>
      <c r="B144" s="12">
        <f t="shared" si="4"/>
        <v>36</v>
      </c>
      <c r="C144" s="1" t="s">
        <v>31</v>
      </c>
      <c r="D144">
        <v>927</v>
      </c>
      <c r="E144">
        <v>358</v>
      </c>
      <c r="F144">
        <f>Engagement_Summary[[#This Row],[New_Followers]]-Engagement_Summary[[#This Row],[Unfollows]]</f>
        <v>569</v>
      </c>
      <c r="G144">
        <v>177554</v>
      </c>
      <c r="H144" s="10">
        <f>Engagement_Summary[[#This Row],[Growth]]/Engagement_Summary[[#This Row],[Total_Followers]]</f>
        <v>3.2046588643454949E-3</v>
      </c>
      <c r="I144">
        <v>6.95</v>
      </c>
      <c r="J144">
        <v>48270</v>
      </c>
      <c r="K144" t="str">
        <f>IF(AND(A144&gt;=Campaign!$B$2,A144&lt;=Campaign!$C$2),"CybertruckLaunch",IF(AND(A144&gt;=Campaign!$B$3,A144&lt;=Campaign!$C$3),"ModelYcampaign",IF(AND(A144&gt;=Campaign!$B$4,A144&lt;=Campaign!$C$4),"FSDUpdate",IF(AND(A144&gt;=Campaign!$B$5,A144&lt;=Campaign!$C$5),"SustainabilityDrive","No Campaign"))))</f>
        <v>No Campaign</v>
      </c>
    </row>
    <row r="145" spans="1:11" x14ac:dyDescent="0.35">
      <c r="A145" s="2">
        <v>45691</v>
      </c>
      <c r="B145" s="12">
        <f t="shared" si="4"/>
        <v>36</v>
      </c>
      <c r="C145" s="1" t="s">
        <v>32</v>
      </c>
      <c r="D145">
        <v>152</v>
      </c>
      <c r="E145">
        <v>355</v>
      </c>
      <c r="F145">
        <f>Engagement_Summary[[#This Row],[New_Followers]]-Engagement_Summary[[#This Row],[Unfollows]]</f>
        <v>-203</v>
      </c>
      <c r="G145">
        <v>270766</v>
      </c>
      <c r="H145" s="10">
        <f>Engagement_Summary[[#This Row],[Growth]]/Engagement_Summary[[#This Row],[Total_Followers]]</f>
        <v>-7.4972485467156139E-4</v>
      </c>
      <c r="I145">
        <v>9.48</v>
      </c>
      <c r="J145">
        <v>18001</v>
      </c>
      <c r="K145" t="str">
        <f>IF(AND(A145&gt;=Campaign!$B$2,A145&lt;=Campaign!$C$2),"CybertruckLaunch",IF(AND(A145&gt;=Campaign!$B$3,A145&lt;=Campaign!$C$3),"ModelYcampaign",IF(AND(A145&gt;=Campaign!$B$4,A145&lt;=Campaign!$C$4),"FSDUpdate",IF(AND(A145&gt;=Campaign!$B$5,A145&lt;=Campaign!$C$5),"SustainabilityDrive","No Campaign"))))</f>
        <v>No Campaign</v>
      </c>
    </row>
    <row r="146" spans="1:11" x14ac:dyDescent="0.35">
      <c r="A146" s="2">
        <v>45698</v>
      </c>
      <c r="B146" s="12">
        <f t="shared" si="4"/>
        <v>37</v>
      </c>
      <c r="C146" s="1" t="s">
        <v>29</v>
      </c>
      <c r="D146">
        <v>1957</v>
      </c>
      <c r="E146">
        <v>234</v>
      </c>
      <c r="F146">
        <f>Engagement_Summary[[#This Row],[New_Followers]]-Engagement_Summary[[#This Row],[Unfollows]]</f>
        <v>1723</v>
      </c>
      <c r="G146">
        <v>222126</v>
      </c>
      <c r="H146" s="10">
        <f>Engagement_Summary[[#This Row],[Growth]]/Engagement_Summary[[#This Row],[Total_Followers]]</f>
        <v>7.7568587198256845E-3</v>
      </c>
      <c r="I146">
        <v>4.6100000000000003</v>
      </c>
      <c r="J146">
        <v>3314</v>
      </c>
      <c r="K146" t="str">
        <f>IF(AND(A146&gt;=Campaign!$B$2,A146&lt;=Campaign!$C$2),"CybertruckLaunch",IF(AND(A146&gt;=Campaign!$B$3,A146&lt;=Campaign!$C$3),"ModelYcampaign",IF(AND(A146&gt;=Campaign!$B$4,A146&lt;=Campaign!$C$4),"FSDUpdate",IF(AND(A146&gt;=Campaign!$B$5,A146&lt;=Campaign!$C$5),"SustainabilityDrive","No Campaign"))))</f>
        <v>No Campaign</v>
      </c>
    </row>
    <row r="147" spans="1:11" x14ac:dyDescent="0.35">
      <c r="A147" s="2">
        <v>45698</v>
      </c>
      <c r="B147" s="12">
        <f t="shared" si="4"/>
        <v>37</v>
      </c>
      <c r="C147" s="1" t="s">
        <v>30</v>
      </c>
      <c r="D147">
        <v>1294</v>
      </c>
      <c r="E147">
        <v>382</v>
      </c>
      <c r="F147">
        <f>Engagement_Summary[[#This Row],[New_Followers]]-Engagement_Summary[[#This Row],[Unfollows]]</f>
        <v>912</v>
      </c>
      <c r="G147">
        <v>309914</v>
      </c>
      <c r="H147" s="10">
        <f>Engagement_Summary[[#This Row],[Growth]]/Engagement_Summary[[#This Row],[Total_Followers]]</f>
        <v>2.9427518601934728E-3</v>
      </c>
      <c r="I147">
        <v>8.0299999999999994</v>
      </c>
      <c r="J147">
        <v>23489</v>
      </c>
      <c r="K147" t="str">
        <f>IF(AND(A147&gt;=Campaign!$B$2,A147&lt;=Campaign!$C$2),"CybertruckLaunch",IF(AND(A147&gt;=Campaign!$B$3,A147&lt;=Campaign!$C$3),"ModelYcampaign",IF(AND(A147&gt;=Campaign!$B$4,A147&lt;=Campaign!$C$4),"FSDUpdate",IF(AND(A147&gt;=Campaign!$B$5,A147&lt;=Campaign!$C$5),"SustainabilityDrive","No Campaign"))))</f>
        <v>No Campaign</v>
      </c>
    </row>
    <row r="148" spans="1:11" x14ac:dyDescent="0.35">
      <c r="A148" s="2">
        <v>45698</v>
      </c>
      <c r="B148" s="12">
        <f t="shared" si="4"/>
        <v>37</v>
      </c>
      <c r="C148" s="1" t="s">
        <v>31</v>
      </c>
      <c r="D148">
        <v>1587</v>
      </c>
      <c r="E148">
        <v>385</v>
      </c>
      <c r="F148">
        <f>Engagement_Summary[[#This Row],[New_Followers]]-Engagement_Summary[[#This Row],[Unfollows]]</f>
        <v>1202</v>
      </c>
      <c r="G148">
        <v>126582</v>
      </c>
      <c r="H148" s="10">
        <f>Engagement_Summary[[#This Row],[Growth]]/Engagement_Summary[[#This Row],[Total_Followers]]</f>
        <v>9.4958208908059605E-3</v>
      </c>
      <c r="I148">
        <v>6.99</v>
      </c>
      <c r="J148">
        <v>42832</v>
      </c>
      <c r="K148" t="str">
        <f>IF(AND(A148&gt;=Campaign!$B$2,A148&lt;=Campaign!$C$2),"CybertruckLaunch",IF(AND(A148&gt;=Campaign!$B$3,A148&lt;=Campaign!$C$3),"ModelYcampaign",IF(AND(A148&gt;=Campaign!$B$4,A148&lt;=Campaign!$C$4),"FSDUpdate",IF(AND(A148&gt;=Campaign!$B$5,A148&lt;=Campaign!$C$5),"SustainabilityDrive","No Campaign"))))</f>
        <v>No Campaign</v>
      </c>
    </row>
    <row r="149" spans="1:11" x14ac:dyDescent="0.35">
      <c r="A149" s="2">
        <v>45698</v>
      </c>
      <c r="B149" s="12">
        <f t="shared" si="4"/>
        <v>37</v>
      </c>
      <c r="C149" s="1" t="s">
        <v>32</v>
      </c>
      <c r="D149">
        <v>1707</v>
      </c>
      <c r="E149">
        <v>263</v>
      </c>
      <c r="F149">
        <f>Engagement_Summary[[#This Row],[New_Followers]]-Engagement_Summary[[#This Row],[Unfollows]]</f>
        <v>1444</v>
      </c>
      <c r="G149">
        <v>485280</v>
      </c>
      <c r="H149" s="10">
        <f>Engagement_Summary[[#This Row],[Growth]]/Engagement_Summary[[#This Row],[Total_Followers]]</f>
        <v>2.9756017144741179E-3</v>
      </c>
      <c r="I149">
        <v>9.0299999999999994</v>
      </c>
      <c r="J149">
        <v>24494</v>
      </c>
      <c r="K149" t="str">
        <f>IF(AND(A149&gt;=Campaign!$B$2,A149&lt;=Campaign!$C$2),"CybertruckLaunch",IF(AND(A149&gt;=Campaign!$B$3,A149&lt;=Campaign!$C$3),"ModelYcampaign",IF(AND(A149&gt;=Campaign!$B$4,A149&lt;=Campaign!$C$4),"FSDUpdate",IF(AND(A149&gt;=Campaign!$B$5,A149&lt;=Campaign!$C$5),"SustainabilityDrive","No Campaign"))))</f>
        <v>No Campaign</v>
      </c>
    </row>
    <row r="150" spans="1:11" x14ac:dyDescent="0.35">
      <c r="A150" s="2">
        <v>45705</v>
      </c>
      <c r="B150" s="12">
        <f t="shared" si="4"/>
        <v>38</v>
      </c>
      <c r="C150" s="1" t="s">
        <v>29</v>
      </c>
      <c r="D150">
        <v>1138</v>
      </c>
      <c r="E150">
        <v>173</v>
      </c>
      <c r="F150">
        <f>Engagement_Summary[[#This Row],[New_Followers]]-Engagement_Summary[[#This Row],[Unfollows]]</f>
        <v>965</v>
      </c>
      <c r="G150">
        <v>453243</v>
      </c>
      <c r="H150" s="10">
        <f>Engagement_Summary[[#This Row],[Growth]]/Engagement_Summary[[#This Row],[Total_Followers]]</f>
        <v>2.1291007252180398E-3</v>
      </c>
      <c r="I150">
        <v>2.86</v>
      </c>
      <c r="J150">
        <v>44097</v>
      </c>
      <c r="K150" t="str">
        <f>IF(AND(A150&gt;=Campaign!$B$2,A150&lt;=Campaign!$C$2),"CybertruckLaunch",IF(AND(A150&gt;=Campaign!$B$3,A150&lt;=Campaign!$C$3),"ModelYcampaign",IF(AND(A150&gt;=Campaign!$B$4,A150&lt;=Campaign!$C$4),"FSDUpdate",IF(AND(A150&gt;=Campaign!$B$5,A150&lt;=Campaign!$C$5),"SustainabilityDrive","No Campaign"))))</f>
        <v>No Campaign</v>
      </c>
    </row>
    <row r="151" spans="1:11" x14ac:dyDescent="0.35">
      <c r="A151" s="2">
        <v>45705</v>
      </c>
      <c r="B151" s="12">
        <f t="shared" si="4"/>
        <v>38</v>
      </c>
      <c r="C151" s="1" t="s">
        <v>30</v>
      </c>
      <c r="D151">
        <v>1895</v>
      </c>
      <c r="E151">
        <v>305</v>
      </c>
      <c r="F151">
        <f>Engagement_Summary[[#This Row],[New_Followers]]-Engagement_Summary[[#This Row],[Unfollows]]</f>
        <v>1590</v>
      </c>
      <c r="G151">
        <v>104967</v>
      </c>
      <c r="H151" s="10">
        <f>Engagement_Summary[[#This Row],[Growth]]/Engagement_Summary[[#This Row],[Total_Followers]]</f>
        <v>1.5147617822744291E-2</v>
      </c>
      <c r="I151">
        <v>3.85</v>
      </c>
      <c r="J151">
        <v>31853</v>
      </c>
      <c r="K151" t="str">
        <f>IF(AND(A151&gt;=Campaign!$B$2,A151&lt;=Campaign!$C$2),"CybertruckLaunch",IF(AND(A151&gt;=Campaign!$B$3,A151&lt;=Campaign!$C$3),"ModelYcampaign",IF(AND(A151&gt;=Campaign!$B$4,A151&lt;=Campaign!$C$4),"FSDUpdate",IF(AND(A151&gt;=Campaign!$B$5,A151&lt;=Campaign!$C$5),"SustainabilityDrive","No Campaign"))))</f>
        <v>No Campaign</v>
      </c>
    </row>
    <row r="152" spans="1:11" x14ac:dyDescent="0.35">
      <c r="A152" s="2">
        <v>45705</v>
      </c>
      <c r="B152" s="12">
        <f t="shared" si="4"/>
        <v>38</v>
      </c>
      <c r="C152" s="1" t="s">
        <v>31</v>
      </c>
      <c r="D152">
        <v>362</v>
      </c>
      <c r="E152">
        <v>399</v>
      </c>
      <c r="F152">
        <f>Engagement_Summary[[#This Row],[New_Followers]]-Engagement_Summary[[#This Row],[Unfollows]]</f>
        <v>-37</v>
      </c>
      <c r="G152">
        <v>145608</v>
      </c>
      <c r="H152" s="10">
        <f>Engagement_Summary[[#This Row],[Growth]]/Engagement_Summary[[#This Row],[Total_Followers]]</f>
        <v>-2.5410691720235154E-4</v>
      </c>
      <c r="I152">
        <v>7.3</v>
      </c>
      <c r="J152">
        <v>37636</v>
      </c>
      <c r="K152" t="str">
        <f>IF(AND(A152&gt;=Campaign!$B$2,A152&lt;=Campaign!$C$2),"CybertruckLaunch",IF(AND(A152&gt;=Campaign!$B$3,A152&lt;=Campaign!$C$3),"ModelYcampaign",IF(AND(A152&gt;=Campaign!$B$4,A152&lt;=Campaign!$C$4),"FSDUpdate",IF(AND(A152&gt;=Campaign!$B$5,A152&lt;=Campaign!$C$5),"SustainabilityDrive","No Campaign"))))</f>
        <v>No Campaign</v>
      </c>
    </row>
    <row r="153" spans="1:11" x14ac:dyDescent="0.35">
      <c r="A153" s="2">
        <v>45705</v>
      </c>
      <c r="B153" s="12">
        <f t="shared" si="4"/>
        <v>38</v>
      </c>
      <c r="C153" s="1" t="s">
        <v>32</v>
      </c>
      <c r="D153">
        <v>1662</v>
      </c>
      <c r="E153">
        <v>487</v>
      </c>
      <c r="F153">
        <f>Engagement_Summary[[#This Row],[New_Followers]]-Engagement_Summary[[#This Row],[Unfollows]]</f>
        <v>1175</v>
      </c>
      <c r="G153">
        <v>105980</v>
      </c>
      <c r="H153" s="10">
        <f>Engagement_Summary[[#This Row],[Growth]]/Engagement_Summary[[#This Row],[Total_Followers]]</f>
        <v>1.1086997546706926E-2</v>
      </c>
      <c r="I153">
        <v>9.08</v>
      </c>
      <c r="J153">
        <v>22996</v>
      </c>
      <c r="K153" t="str">
        <f>IF(AND(A153&gt;=Campaign!$B$2,A153&lt;=Campaign!$C$2),"CybertruckLaunch",IF(AND(A153&gt;=Campaign!$B$3,A153&lt;=Campaign!$C$3),"ModelYcampaign",IF(AND(A153&gt;=Campaign!$B$4,A153&lt;=Campaign!$C$4),"FSDUpdate",IF(AND(A153&gt;=Campaign!$B$5,A153&lt;=Campaign!$C$5),"SustainabilityDrive","No Campaign"))))</f>
        <v>No Campaign</v>
      </c>
    </row>
    <row r="154" spans="1:11" x14ac:dyDescent="0.35">
      <c r="A154" s="2">
        <v>45712</v>
      </c>
      <c r="B154" s="12">
        <f t="shared" si="4"/>
        <v>39</v>
      </c>
      <c r="C154" s="1" t="s">
        <v>29</v>
      </c>
      <c r="D154">
        <v>1440</v>
      </c>
      <c r="E154">
        <v>65</v>
      </c>
      <c r="F154">
        <f>Engagement_Summary[[#This Row],[New_Followers]]-Engagement_Summary[[#This Row],[Unfollows]]</f>
        <v>1375</v>
      </c>
      <c r="G154">
        <v>126524</v>
      </c>
      <c r="H154" s="10">
        <f>Engagement_Summary[[#This Row],[Growth]]/Engagement_Summary[[#This Row],[Total_Followers]]</f>
        <v>1.0867503398564699E-2</v>
      </c>
      <c r="I154">
        <v>4.34</v>
      </c>
      <c r="J154">
        <v>49772</v>
      </c>
      <c r="K154" t="str">
        <f>IF(AND(A154&gt;=Campaign!$B$2,A154&lt;=Campaign!$C$2),"CybertruckLaunch",IF(AND(A154&gt;=Campaign!$B$3,A154&lt;=Campaign!$C$3),"ModelYcampaign",IF(AND(A154&gt;=Campaign!$B$4,A154&lt;=Campaign!$C$4),"FSDUpdate",IF(AND(A154&gt;=Campaign!$B$5,A154&lt;=Campaign!$C$5),"SustainabilityDrive","No Campaign"))))</f>
        <v>No Campaign</v>
      </c>
    </row>
    <row r="155" spans="1:11" x14ac:dyDescent="0.35">
      <c r="A155" s="2">
        <v>45712</v>
      </c>
      <c r="B155" s="12">
        <f t="shared" si="4"/>
        <v>39</v>
      </c>
      <c r="C155" s="1" t="s">
        <v>30</v>
      </c>
      <c r="D155">
        <v>1884</v>
      </c>
      <c r="E155">
        <v>177</v>
      </c>
      <c r="F155">
        <f>Engagement_Summary[[#This Row],[New_Followers]]-Engagement_Summary[[#This Row],[Unfollows]]</f>
        <v>1707</v>
      </c>
      <c r="G155">
        <v>230448</v>
      </c>
      <c r="H155" s="10">
        <f>Engagement_Summary[[#This Row],[Growth]]/Engagement_Summary[[#This Row],[Total_Followers]]</f>
        <v>7.4073109768798169E-3</v>
      </c>
      <c r="I155">
        <v>7.8</v>
      </c>
      <c r="J155">
        <v>22713</v>
      </c>
      <c r="K155" t="str">
        <f>IF(AND(A155&gt;=Campaign!$B$2,A155&lt;=Campaign!$C$2),"CybertruckLaunch",IF(AND(A155&gt;=Campaign!$B$3,A155&lt;=Campaign!$C$3),"ModelYcampaign",IF(AND(A155&gt;=Campaign!$B$4,A155&lt;=Campaign!$C$4),"FSDUpdate",IF(AND(A155&gt;=Campaign!$B$5,A155&lt;=Campaign!$C$5),"SustainabilityDrive","No Campaign"))))</f>
        <v>No Campaign</v>
      </c>
    </row>
    <row r="156" spans="1:11" x14ac:dyDescent="0.35">
      <c r="A156" s="2">
        <v>45712</v>
      </c>
      <c r="B156" s="12">
        <f t="shared" si="4"/>
        <v>39</v>
      </c>
      <c r="C156" s="1" t="s">
        <v>31</v>
      </c>
      <c r="D156">
        <v>861</v>
      </c>
      <c r="E156">
        <v>153</v>
      </c>
      <c r="F156">
        <f>Engagement_Summary[[#This Row],[New_Followers]]-Engagement_Summary[[#This Row],[Unfollows]]</f>
        <v>708</v>
      </c>
      <c r="G156">
        <v>317007</v>
      </c>
      <c r="H156" s="10">
        <f>Engagement_Summary[[#This Row],[Growth]]/Engagement_Summary[[#This Row],[Total_Followers]]</f>
        <v>2.2333891680625349E-3</v>
      </c>
      <c r="I156">
        <v>3.85</v>
      </c>
      <c r="J156">
        <v>8718</v>
      </c>
      <c r="K156" t="str">
        <f>IF(AND(A156&gt;=Campaign!$B$2,A156&lt;=Campaign!$C$2),"CybertruckLaunch",IF(AND(A156&gt;=Campaign!$B$3,A156&lt;=Campaign!$C$3),"ModelYcampaign",IF(AND(A156&gt;=Campaign!$B$4,A156&lt;=Campaign!$C$4),"FSDUpdate",IF(AND(A156&gt;=Campaign!$B$5,A156&lt;=Campaign!$C$5),"SustainabilityDrive","No Campaign"))))</f>
        <v>No Campaign</v>
      </c>
    </row>
    <row r="157" spans="1:11" x14ac:dyDescent="0.35">
      <c r="A157" s="2">
        <v>45712</v>
      </c>
      <c r="B157" s="12">
        <f t="shared" si="4"/>
        <v>39</v>
      </c>
      <c r="C157" s="1" t="s">
        <v>32</v>
      </c>
      <c r="D157">
        <v>1063</v>
      </c>
      <c r="E157">
        <v>47</v>
      </c>
      <c r="F157">
        <f>Engagement_Summary[[#This Row],[New_Followers]]-Engagement_Summary[[#This Row],[Unfollows]]</f>
        <v>1016</v>
      </c>
      <c r="G157">
        <v>464239</v>
      </c>
      <c r="H157" s="10">
        <f>Engagement_Summary[[#This Row],[Growth]]/Engagement_Summary[[#This Row],[Total_Followers]]</f>
        <v>2.1885278918832756E-3</v>
      </c>
      <c r="I157">
        <v>6.58</v>
      </c>
      <c r="J157">
        <v>39031</v>
      </c>
      <c r="K157" t="str">
        <f>IF(AND(A157&gt;=Campaign!$B$2,A157&lt;=Campaign!$C$2),"CybertruckLaunch",IF(AND(A157&gt;=Campaign!$B$3,A157&lt;=Campaign!$C$3),"ModelYcampaign",IF(AND(A157&gt;=Campaign!$B$4,A157&lt;=Campaign!$C$4),"FSDUpdate",IF(AND(A157&gt;=Campaign!$B$5,A157&lt;=Campaign!$C$5),"SustainabilityDrive","No Campaign"))))</f>
        <v>No Campaign</v>
      </c>
    </row>
    <row r="158" spans="1:11" x14ac:dyDescent="0.35">
      <c r="A158" s="2">
        <v>45719</v>
      </c>
      <c r="B158" s="12">
        <f t="shared" si="4"/>
        <v>40</v>
      </c>
      <c r="C158" s="1" t="s">
        <v>29</v>
      </c>
      <c r="D158">
        <v>1371</v>
      </c>
      <c r="E158">
        <v>56</v>
      </c>
      <c r="F158">
        <f>Engagement_Summary[[#This Row],[New_Followers]]-Engagement_Summary[[#This Row],[Unfollows]]</f>
        <v>1315</v>
      </c>
      <c r="G158">
        <v>257579</v>
      </c>
      <c r="H158" s="10">
        <f>Engagement_Summary[[#This Row],[Growth]]/Engagement_Summary[[#This Row],[Total_Followers]]</f>
        <v>5.1052298518124532E-3</v>
      </c>
      <c r="I158">
        <v>8.6199999999999992</v>
      </c>
      <c r="J158">
        <v>33799</v>
      </c>
      <c r="K158" t="str">
        <f>IF(AND(A158&gt;=Campaign!$B$2,A158&lt;=Campaign!$C$2),"CybertruckLaunch",IF(AND(A158&gt;=Campaign!$B$3,A158&lt;=Campaign!$C$3),"ModelYcampaign",IF(AND(A158&gt;=Campaign!$B$4,A158&lt;=Campaign!$C$4),"FSDUpdate",IF(AND(A158&gt;=Campaign!$B$5,A158&lt;=Campaign!$C$5),"SustainabilityDrive","No Campaign"))))</f>
        <v>SustainabilityDrive</v>
      </c>
    </row>
    <row r="159" spans="1:11" x14ac:dyDescent="0.35">
      <c r="A159" s="2">
        <v>45719</v>
      </c>
      <c r="B159" s="12">
        <f t="shared" si="4"/>
        <v>40</v>
      </c>
      <c r="C159" s="1" t="s">
        <v>30</v>
      </c>
      <c r="D159">
        <v>345</v>
      </c>
      <c r="E159">
        <v>464</v>
      </c>
      <c r="F159">
        <f>Engagement_Summary[[#This Row],[New_Followers]]-Engagement_Summary[[#This Row],[Unfollows]]</f>
        <v>-119</v>
      </c>
      <c r="G159">
        <v>366881</v>
      </c>
      <c r="H159" s="10">
        <f>Engagement_Summary[[#This Row],[Growth]]/Engagement_Summary[[#This Row],[Total_Followers]]</f>
        <v>-3.2435585380545735E-4</v>
      </c>
      <c r="I159">
        <v>4.55</v>
      </c>
      <c r="J159">
        <v>20553</v>
      </c>
      <c r="K159" t="str">
        <f>IF(AND(A159&gt;=Campaign!$B$2,A159&lt;=Campaign!$C$2),"CybertruckLaunch",IF(AND(A159&gt;=Campaign!$B$3,A159&lt;=Campaign!$C$3),"ModelYcampaign",IF(AND(A159&gt;=Campaign!$B$4,A159&lt;=Campaign!$C$4),"FSDUpdate",IF(AND(A159&gt;=Campaign!$B$5,A159&lt;=Campaign!$C$5),"SustainabilityDrive","No Campaign"))))</f>
        <v>SustainabilityDrive</v>
      </c>
    </row>
    <row r="160" spans="1:11" x14ac:dyDescent="0.35">
      <c r="A160" s="2">
        <v>45719</v>
      </c>
      <c r="B160" s="12">
        <f t="shared" si="4"/>
        <v>40</v>
      </c>
      <c r="C160" s="1" t="s">
        <v>31</v>
      </c>
      <c r="D160">
        <v>946</v>
      </c>
      <c r="E160">
        <v>47</v>
      </c>
      <c r="F160">
        <f>Engagement_Summary[[#This Row],[New_Followers]]-Engagement_Summary[[#This Row],[Unfollows]]</f>
        <v>899</v>
      </c>
      <c r="G160">
        <v>466575</v>
      </c>
      <c r="H160" s="10">
        <f>Engagement_Summary[[#This Row],[Growth]]/Engagement_Summary[[#This Row],[Total_Followers]]</f>
        <v>1.9268070513850934E-3</v>
      </c>
      <c r="I160">
        <v>8.33</v>
      </c>
      <c r="J160">
        <v>10002</v>
      </c>
      <c r="K160" t="str">
        <f>IF(AND(A160&gt;=Campaign!$B$2,A160&lt;=Campaign!$C$2),"CybertruckLaunch",IF(AND(A160&gt;=Campaign!$B$3,A160&lt;=Campaign!$C$3),"ModelYcampaign",IF(AND(A160&gt;=Campaign!$B$4,A160&lt;=Campaign!$C$4),"FSDUpdate",IF(AND(A160&gt;=Campaign!$B$5,A160&lt;=Campaign!$C$5),"SustainabilityDrive","No Campaign"))))</f>
        <v>SustainabilityDrive</v>
      </c>
    </row>
    <row r="161" spans="1:11" x14ac:dyDescent="0.35">
      <c r="A161" s="2">
        <v>45719</v>
      </c>
      <c r="B161" s="12">
        <f t="shared" si="4"/>
        <v>40</v>
      </c>
      <c r="C161" s="1" t="s">
        <v>32</v>
      </c>
      <c r="D161">
        <v>510</v>
      </c>
      <c r="E161">
        <v>195</v>
      </c>
      <c r="F161">
        <f>Engagement_Summary[[#This Row],[New_Followers]]-Engagement_Summary[[#This Row],[Unfollows]]</f>
        <v>315</v>
      </c>
      <c r="G161">
        <v>224534</v>
      </c>
      <c r="H161" s="10">
        <f>Engagement_Summary[[#This Row],[Growth]]/Engagement_Summary[[#This Row],[Total_Followers]]</f>
        <v>1.4029055733207443E-3</v>
      </c>
      <c r="I161">
        <v>9.4</v>
      </c>
      <c r="J161">
        <v>30987</v>
      </c>
      <c r="K161" t="str">
        <f>IF(AND(A161&gt;=Campaign!$B$2,A161&lt;=Campaign!$C$2),"CybertruckLaunch",IF(AND(A161&gt;=Campaign!$B$3,A161&lt;=Campaign!$C$3),"ModelYcampaign",IF(AND(A161&gt;=Campaign!$B$4,A161&lt;=Campaign!$C$4),"FSDUpdate",IF(AND(A161&gt;=Campaign!$B$5,A161&lt;=Campaign!$C$5),"SustainabilityDrive","No Campaign"))))</f>
        <v>SustainabilityDrive</v>
      </c>
    </row>
    <row r="162" spans="1:11" x14ac:dyDescent="0.35">
      <c r="A162" s="2">
        <v>45726</v>
      </c>
      <c r="B162" s="12">
        <f t="shared" ref="B162:B193" si="5">MATCH(A162,_xlfn.UNIQUE($A$2:$A$200),0)</f>
        <v>41</v>
      </c>
      <c r="C162" s="1" t="s">
        <v>29</v>
      </c>
      <c r="D162">
        <v>393</v>
      </c>
      <c r="E162">
        <v>181</v>
      </c>
      <c r="F162">
        <f>Engagement_Summary[[#This Row],[New_Followers]]-Engagement_Summary[[#This Row],[Unfollows]]</f>
        <v>212</v>
      </c>
      <c r="G162">
        <v>462142</v>
      </c>
      <c r="H162" s="10">
        <f>Engagement_Summary[[#This Row],[Growth]]/Engagement_Summary[[#This Row],[Total_Followers]]</f>
        <v>4.5873346287504706E-4</v>
      </c>
      <c r="I162">
        <v>7.23</v>
      </c>
      <c r="J162">
        <v>6296</v>
      </c>
      <c r="K162" t="str">
        <f>IF(AND(A162&gt;=Campaign!$B$2,A162&lt;=Campaign!$C$2),"CybertruckLaunch",IF(AND(A162&gt;=Campaign!$B$3,A162&lt;=Campaign!$C$3),"ModelYcampaign",IF(AND(A162&gt;=Campaign!$B$4,A162&lt;=Campaign!$C$4),"FSDUpdate",IF(AND(A162&gt;=Campaign!$B$5,A162&lt;=Campaign!$C$5),"SustainabilityDrive","No Campaign"))))</f>
        <v>SustainabilityDrive</v>
      </c>
    </row>
    <row r="163" spans="1:11" x14ac:dyDescent="0.35">
      <c r="A163" s="2">
        <v>45726</v>
      </c>
      <c r="B163" s="12">
        <f t="shared" si="5"/>
        <v>41</v>
      </c>
      <c r="C163" s="1" t="s">
        <v>30</v>
      </c>
      <c r="D163">
        <v>1098</v>
      </c>
      <c r="E163">
        <v>190</v>
      </c>
      <c r="F163">
        <f>Engagement_Summary[[#This Row],[New_Followers]]-Engagement_Summary[[#This Row],[Unfollows]]</f>
        <v>908</v>
      </c>
      <c r="G163">
        <v>340842</v>
      </c>
      <c r="H163" s="10">
        <f>Engagement_Summary[[#This Row],[Growth]]/Engagement_Summary[[#This Row],[Total_Followers]]</f>
        <v>2.6639909400836752E-3</v>
      </c>
      <c r="I163">
        <v>9.39</v>
      </c>
      <c r="J163">
        <v>21539</v>
      </c>
      <c r="K163" t="str">
        <f>IF(AND(A163&gt;=Campaign!$B$2,A163&lt;=Campaign!$C$2),"CybertruckLaunch",IF(AND(A163&gt;=Campaign!$B$3,A163&lt;=Campaign!$C$3),"ModelYcampaign",IF(AND(A163&gt;=Campaign!$B$4,A163&lt;=Campaign!$C$4),"FSDUpdate",IF(AND(A163&gt;=Campaign!$B$5,A163&lt;=Campaign!$C$5),"SustainabilityDrive","No Campaign"))))</f>
        <v>SustainabilityDrive</v>
      </c>
    </row>
    <row r="164" spans="1:11" x14ac:dyDescent="0.35">
      <c r="A164" s="2">
        <v>45726</v>
      </c>
      <c r="B164" s="12">
        <f t="shared" si="5"/>
        <v>41</v>
      </c>
      <c r="C164" s="1" t="s">
        <v>31</v>
      </c>
      <c r="D164">
        <v>1399</v>
      </c>
      <c r="E164">
        <v>49</v>
      </c>
      <c r="F164">
        <f>Engagement_Summary[[#This Row],[New_Followers]]-Engagement_Summary[[#This Row],[Unfollows]]</f>
        <v>1350</v>
      </c>
      <c r="G164">
        <v>12471</v>
      </c>
      <c r="H164" s="10">
        <f>Engagement_Summary[[#This Row],[Growth]]/Engagement_Summary[[#This Row],[Total_Followers]]</f>
        <v>0.10825114265095021</v>
      </c>
      <c r="I164">
        <v>5.12</v>
      </c>
      <c r="J164">
        <v>14722</v>
      </c>
      <c r="K164" t="str">
        <f>IF(AND(A164&gt;=Campaign!$B$2,A164&lt;=Campaign!$C$2),"CybertruckLaunch",IF(AND(A164&gt;=Campaign!$B$3,A164&lt;=Campaign!$C$3),"ModelYcampaign",IF(AND(A164&gt;=Campaign!$B$4,A164&lt;=Campaign!$C$4),"FSDUpdate",IF(AND(A164&gt;=Campaign!$B$5,A164&lt;=Campaign!$C$5),"SustainabilityDrive","No Campaign"))))</f>
        <v>SustainabilityDrive</v>
      </c>
    </row>
    <row r="165" spans="1:11" x14ac:dyDescent="0.35">
      <c r="A165" s="2">
        <v>45726</v>
      </c>
      <c r="B165" s="12">
        <f t="shared" si="5"/>
        <v>41</v>
      </c>
      <c r="C165" s="1" t="s">
        <v>32</v>
      </c>
      <c r="D165">
        <v>1658</v>
      </c>
      <c r="E165">
        <v>416</v>
      </c>
      <c r="F165">
        <f>Engagement_Summary[[#This Row],[New_Followers]]-Engagement_Summary[[#This Row],[Unfollows]]</f>
        <v>1242</v>
      </c>
      <c r="G165">
        <v>98397</v>
      </c>
      <c r="H165" s="10">
        <f>Engagement_Summary[[#This Row],[Growth]]/Engagement_Summary[[#This Row],[Total_Followers]]</f>
        <v>1.2622336046830695E-2</v>
      </c>
      <c r="I165">
        <v>6.11</v>
      </c>
      <c r="J165">
        <v>11383</v>
      </c>
      <c r="K165" t="str">
        <f>IF(AND(A165&gt;=Campaign!$B$2,A165&lt;=Campaign!$C$2),"CybertruckLaunch",IF(AND(A165&gt;=Campaign!$B$3,A165&lt;=Campaign!$C$3),"ModelYcampaign",IF(AND(A165&gt;=Campaign!$B$4,A165&lt;=Campaign!$C$4),"FSDUpdate",IF(AND(A165&gt;=Campaign!$B$5,A165&lt;=Campaign!$C$5),"SustainabilityDrive","No Campaign"))))</f>
        <v>SustainabilityDrive</v>
      </c>
    </row>
    <row r="166" spans="1:11" x14ac:dyDescent="0.35">
      <c r="A166" s="2">
        <v>45733</v>
      </c>
      <c r="B166" s="12">
        <f t="shared" si="5"/>
        <v>42</v>
      </c>
      <c r="C166" s="1" t="s">
        <v>29</v>
      </c>
      <c r="D166">
        <v>1102</v>
      </c>
      <c r="E166">
        <v>422</v>
      </c>
      <c r="F166">
        <f>Engagement_Summary[[#This Row],[New_Followers]]-Engagement_Summary[[#This Row],[Unfollows]]</f>
        <v>680</v>
      </c>
      <c r="G166">
        <v>410330</v>
      </c>
      <c r="H166" s="10">
        <f>Engagement_Summary[[#This Row],[Growth]]/Engagement_Summary[[#This Row],[Total_Followers]]</f>
        <v>1.6572027392586454E-3</v>
      </c>
      <c r="I166">
        <v>7.74</v>
      </c>
      <c r="J166">
        <v>9480</v>
      </c>
      <c r="K166" t="str">
        <f>IF(AND(A166&gt;=Campaign!$B$2,A166&lt;=Campaign!$C$2),"CybertruckLaunch",IF(AND(A166&gt;=Campaign!$B$3,A166&lt;=Campaign!$C$3),"ModelYcampaign",IF(AND(A166&gt;=Campaign!$B$4,A166&lt;=Campaign!$C$4),"FSDUpdate",IF(AND(A166&gt;=Campaign!$B$5,A166&lt;=Campaign!$C$5),"SustainabilityDrive","No Campaign"))))</f>
        <v>SustainabilityDrive</v>
      </c>
    </row>
    <row r="167" spans="1:11" x14ac:dyDescent="0.35">
      <c r="A167" s="2">
        <v>45733</v>
      </c>
      <c r="B167" s="12">
        <f t="shared" si="5"/>
        <v>42</v>
      </c>
      <c r="C167" s="1" t="s">
        <v>30</v>
      </c>
      <c r="D167">
        <v>1358</v>
      </c>
      <c r="E167">
        <v>242</v>
      </c>
      <c r="F167">
        <f>Engagement_Summary[[#This Row],[New_Followers]]-Engagement_Summary[[#This Row],[Unfollows]]</f>
        <v>1116</v>
      </c>
      <c r="G167">
        <v>342129</v>
      </c>
      <c r="H167" s="10">
        <f>Engagement_Summary[[#This Row],[Growth]]/Engagement_Summary[[#This Row],[Total_Followers]]</f>
        <v>3.2619275185675578E-3</v>
      </c>
      <c r="I167">
        <v>4.9400000000000004</v>
      </c>
      <c r="J167">
        <v>29116</v>
      </c>
      <c r="K167" t="str">
        <f>IF(AND(A167&gt;=Campaign!$B$2,A167&lt;=Campaign!$C$2),"CybertruckLaunch",IF(AND(A167&gt;=Campaign!$B$3,A167&lt;=Campaign!$C$3),"ModelYcampaign",IF(AND(A167&gt;=Campaign!$B$4,A167&lt;=Campaign!$C$4),"FSDUpdate",IF(AND(A167&gt;=Campaign!$B$5,A167&lt;=Campaign!$C$5),"SustainabilityDrive","No Campaign"))))</f>
        <v>SustainabilityDrive</v>
      </c>
    </row>
    <row r="168" spans="1:11" x14ac:dyDescent="0.35">
      <c r="A168" s="2">
        <v>45733</v>
      </c>
      <c r="B168" s="12">
        <f t="shared" si="5"/>
        <v>42</v>
      </c>
      <c r="C168" s="1" t="s">
        <v>31</v>
      </c>
      <c r="D168">
        <v>1077</v>
      </c>
      <c r="E168">
        <v>216</v>
      </c>
      <c r="F168">
        <f>Engagement_Summary[[#This Row],[New_Followers]]-Engagement_Summary[[#This Row],[Unfollows]]</f>
        <v>861</v>
      </c>
      <c r="G168">
        <v>12447</v>
      </c>
      <c r="H168" s="10">
        <f>Engagement_Summary[[#This Row],[Growth]]/Engagement_Summary[[#This Row],[Total_Followers]]</f>
        <v>6.9173294769824048E-2</v>
      </c>
      <c r="I168">
        <v>1.8</v>
      </c>
      <c r="J168">
        <v>14068</v>
      </c>
      <c r="K168" t="str">
        <f>IF(AND(A168&gt;=Campaign!$B$2,A168&lt;=Campaign!$C$2),"CybertruckLaunch",IF(AND(A168&gt;=Campaign!$B$3,A168&lt;=Campaign!$C$3),"ModelYcampaign",IF(AND(A168&gt;=Campaign!$B$4,A168&lt;=Campaign!$C$4),"FSDUpdate",IF(AND(A168&gt;=Campaign!$B$5,A168&lt;=Campaign!$C$5),"SustainabilityDrive","No Campaign"))))</f>
        <v>SustainabilityDrive</v>
      </c>
    </row>
    <row r="169" spans="1:11" x14ac:dyDescent="0.35">
      <c r="A169" s="2">
        <v>45733</v>
      </c>
      <c r="B169" s="12">
        <f t="shared" si="5"/>
        <v>42</v>
      </c>
      <c r="C169" s="1" t="s">
        <v>32</v>
      </c>
      <c r="D169">
        <v>1596</v>
      </c>
      <c r="E169">
        <v>211</v>
      </c>
      <c r="F169">
        <f>Engagement_Summary[[#This Row],[New_Followers]]-Engagement_Summary[[#This Row],[Unfollows]]</f>
        <v>1385</v>
      </c>
      <c r="G169">
        <v>17380</v>
      </c>
      <c r="H169" s="10">
        <f>Engagement_Summary[[#This Row],[Growth]]/Engagement_Summary[[#This Row],[Total_Followers]]</f>
        <v>7.9689298043728429E-2</v>
      </c>
      <c r="I169">
        <v>8.64</v>
      </c>
      <c r="J169">
        <v>35801</v>
      </c>
      <c r="K169" t="str">
        <f>IF(AND(A169&gt;=Campaign!$B$2,A169&lt;=Campaign!$C$2),"CybertruckLaunch",IF(AND(A169&gt;=Campaign!$B$3,A169&lt;=Campaign!$C$3),"ModelYcampaign",IF(AND(A169&gt;=Campaign!$B$4,A169&lt;=Campaign!$C$4),"FSDUpdate",IF(AND(A169&gt;=Campaign!$B$5,A169&lt;=Campaign!$C$5),"SustainabilityDrive","No Campaign"))))</f>
        <v>SustainabilityDrive</v>
      </c>
    </row>
    <row r="170" spans="1:11" x14ac:dyDescent="0.35">
      <c r="A170" s="2">
        <v>45740</v>
      </c>
      <c r="B170" s="12">
        <f t="shared" si="5"/>
        <v>43</v>
      </c>
      <c r="C170" s="1" t="s">
        <v>29</v>
      </c>
      <c r="D170">
        <v>490</v>
      </c>
      <c r="E170">
        <v>29</v>
      </c>
      <c r="F170">
        <f>Engagement_Summary[[#This Row],[New_Followers]]-Engagement_Summary[[#This Row],[Unfollows]]</f>
        <v>461</v>
      </c>
      <c r="G170">
        <v>364810</v>
      </c>
      <c r="H170" s="10">
        <f>Engagement_Summary[[#This Row],[Growth]]/Engagement_Summary[[#This Row],[Total_Followers]]</f>
        <v>1.2636715002329981E-3</v>
      </c>
      <c r="I170">
        <v>1.53</v>
      </c>
      <c r="J170">
        <v>49077</v>
      </c>
      <c r="K170" t="str">
        <f>IF(AND(A170&gt;=Campaign!$B$2,A170&lt;=Campaign!$C$2),"CybertruckLaunch",IF(AND(A170&gt;=Campaign!$B$3,A170&lt;=Campaign!$C$3),"ModelYcampaign",IF(AND(A170&gt;=Campaign!$B$4,A170&lt;=Campaign!$C$4),"FSDUpdate",IF(AND(A170&gt;=Campaign!$B$5,A170&lt;=Campaign!$C$5),"SustainabilityDrive","No Campaign"))))</f>
        <v>SustainabilityDrive</v>
      </c>
    </row>
    <row r="171" spans="1:11" x14ac:dyDescent="0.35">
      <c r="A171" s="2">
        <v>45740</v>
      </c>
      <c r="B171" s="12">
        <f t="shared" si="5"/>
        <v>43</v>
      </c>
      <c r="C171" s="1" t="s">
        <v>30</v>
      </c>
      <c r="D171">
        <v>609</v>
      </c>
      <c r="E171">
        <v>135</v>
      </c>
      <c r="F171">
        <f>Engagement_Summary[[#This Row],[New_Followers]]-Engagement_Summary[[#This Row],[Unfollows]]</f>
        <v>474</v>
      </c>
      <c r="G171">
        <v>373606</v>
      </c>
      <c r="H171" s="10">
        <f>Engagement_Summary[[#This Row],[Growth]]/Engagement_Summary[[#This Row],[Total_Followers]]</f>
        <v>1.268716241173857E-3</v>
      </c>
      <c r="I171">
        <v>8.52</v>
      </c>
      <c r="J171">
        <v>21453</v>
      </c>
      <c r="K171" t="str">
        <f>IF(AND(A171&gt;=Campaign!$B$2,A171&lt;=Campaign!$C$2),"CybertruckLaunch",IF(AND(A171&gt;=Campaign!$B$3,A171&lt;=Campaign!$C$3),"ModelYcampaign",IF(AND(A171&gt;=Campaign!$B$4,A171&lt;=Campaign!$C$4),"FSDUpdate",IF(AND(A171&gt;=Campaign!$B$5,A171&lt;=Campaign!$C$5),"SustainabilityDrive","No Campaign"))))</f>
        <v>SustainabilityDrive</v>
      </c>
    </row>
    <row r="172" spans="1:11" x14ac:dyDescent="0.35">
      <c r="A172" s="2">
        <v>45740</v>
      </c>
      <c r="B172" s="12">
        <f t="shared" si="5"/>
        <v>43</v>
      </c>
      <c r="C172" s="1" t="s">
        <v>31</v>
      </c>
      <c r="D172">
        <v>364</v>
      </c>
      <c r="E172">
        <v>72</v>
      </c>
      <c r="F172">
        <f>Engagement_Summary[[#This Row],[New_Followers]]-Engagement_Summary[[#This Row],[Unfollows]]</f>
        <v>292</v>
      </c>
      <c r="G172">
        <v>211090</v>
      </c>
      <c r="H172" s="10">
        <f>Engagement_Summary[[#This Row],[Growth]]/Engagement_Summary[[#This Row],[Total_Followers]]</f>
        <v>1.3832962243592781E-3</v>
      </c>
      <c r="I172">
        <v>5.53</v>
      </c>
      <c r="J172">
        <v>21061</v>
      </c>
      <c r="K172" t="str">
        <f>IF(AND(A172&gt;=Campaign!$B$2,A172&lt;=Campaign!$C$2),"CybertruckLaunch",IF(AND(A172&gt;=Campaign!$B$3,A172&lt;=Campaign!$C$3),"ModelYcampaign",IF(AND(A172&gt;=Campaign!$B$4,A172&lt;=Campaign!$C$4),"FSDUpdate",IF(AND(A172&gt;=Campaign!$B$5,A172&lt;=Campaign!$C$5),"SustainabilityDrive","No Campaign"))))</f>
        <v>SustainabilityDrive</v>
      </c>
    </row>
    <row r="173" spans="1:11" x14ac:dyDescent="0.35">
      <c r="A173" s="2">
        <v>45740</v>
      </c>
      <c r="B173" s="12">
        <f t="shared" si="5"/>
        <v>43</v>
      </c>
      <c r="C173" s="1" t="s">
        <v>32</v>
      </c>
      <c r="D173">
        <v>442</v>
      </c>
      <c r="E173">
        <v>53</v>
      </c>
      <c r="F173">
        <f>Engagement_Summary[[#This Row],[New_Followers]]-Engagement_Summary[[#This Row],[Unfollows]]</f>
        <v>389</v>
      </c>
      <c r="G173">
        <v>441931</v>
      </c>
      <c r="H173" s="10">
        <f>Engagement_Summary[[#This Row],[Growth]]/Engagement_Summary[[#This Row],[Total_Followers]]</f>
        <v>8.8022790888170322E-4</v>
      </c>
      <c r="I173">
        <v>1.87</v>
      </c>
      <c r="J173">
        <v>20059</v>
      </c>
      <c r="K173" t="str">
        <f>IF(AND(A173&gt;=Campaign!$B$2,A173&lt;=Campaign!$C$2),"CybertruckLaunch",IF(AND(A173&gt;=Campaign!$B$3,A173&lt;=Campaign!$C$3),"ModelYcampaign",IF(AND(A173&gt;=Campaign!$B$4,A173&lt;=Campaign!$C$4),"FSDUpdate",IF(AND(A173&gt;=Campaign!$B$5,A173&lt;=Campaign!$C$5),"SustainabilityDrive","No Campaign"))))</f>
        <v>SustainabilityDrive</v>
      </c>
    </row>
    <row r="174" spans="1:11" x14ac:dyDescent="0.35">
      <c r="A174" s="2">
        <v>45747</v>
      </c>
      <c r="B174" s="12">
        <f t="shared" si="5"/>
        <v>44</v>
      </c>
      <c r="C174" s="1" t="s">
        <v>29</v>
      </c>
      <c r="D174">
        <v>1033</v>
      </c>
      <c r="E174">
        <v>392</v>
      </c>
      <c r="F174">
        <f>Engagement_Summary[[#This Row],[New_Followers]]-Engagement_Summary[[#This Row],[Unfollows]]</f>
        <v>641</v>
      </c>
      <c r="G174">
        <v>282780</v>
      </c>
      <c r="H174" s="10">
        <f>Engagement_Summary[[#This Row],[Growth]]/Engagement_Summary[[#This Row],[Total_Followers]]</f>
        <v>2.2667798288422093E-3</v>
      </c>
      <c r="I174">
        <v>6.27</v>
      </c>
      <c r="J174">
        <v>23140</v>
      </c>
      <c r="K174" t="str">
        <f>IF(AND(A174&gt;=Campaign!$B$2,A174&lt;=Campaign!$C$2),"CybertruckLaunch",IF(AND(A174&gt;=Campaign!$B$3,A174&lt;=Campaign!$C$3),"ModelYcampaign",IF(AND(A174&gt;=Campaign!$B$4,A174&lt;=Campaign!$C$4),"FSDUpdate",IF(AND(A174&gt;=Campaign!$B$5,A174&lt;=Campaign!$C$5),"SustainabilityDrive","No Campaign"))))</f>
        <v>SustainabilityDrive</v>
      </c>
    </row>
    <row r="175" spans="1:11" x14ac:dyDescent="0.35">
      <c r="A175" s="2">
        <v>45747</v>
      </c>
      <c r="B175" s="12">
        <f t="shared" si="5"/>
        <v>44</v>
      </c>
      <c r="C175" s="1" t="s">
        <v>30</v>
      </c>
      <c r="D175">
        <v>988</v>
      </c>
      <c r="E175">
        <v>474</v>
      </c>
      <c r="F175">
        <f>Engagement_Summary[[#This Row],[New_Followers]]-Engagement_Summary[[#This Row],[Unfollows]]</f>
        <v>514</v>
      </c>
      <c r="G175">
        <v>370070</v>
      </c>
      <c r="H175" s="10">
        <f>Engagement_Summary[[#This Row],[Growth]]/Engagement_Summary[[#This Row],[Total_Followers]]</f>
        <v>1.3889264193260734E-3</v>
      </c>
      <c r="I175">
        <v>9.4600000000000009</v>
      </c>
      <c r="J175">
        <v>23461</v>
      </c>
      <c r="K175" t="str">
        <f>IF(AND(A175&gt;=Campaign!$B$2,A175&lt;=Campaign!$C$2),"CybertruckLaunch",IF(AND(A175&gt;=Campaign!$B$3,A175&lt;=Campaign!$C$3),"ModelYcampaign",IF(AND(A175&gt;=Campaign!$B$4,A175&lt;=Campaign!$C$4),"FSDUpdate",IF(AND(A175&gt;=Campaign!$B$5,A175&lt;=Campaign!$C$5),"SustainabilityDrive","No Campaign"))))</f>
        <v>SustainabilityDrive</v>
      </c>
    </row>
    <row r="176" spans="1:11" x14ac:dyDescent="0.35">
      <c r="A176" s="2">
        <v>45747</v>
      </c>
      <c r="B176" s="12">
        <f t="shared" si="5"/>
        <v>44</v>
      </c>
      <c r="C176" s="1" t="s">
        <v>31</v>
      </c>
      <c r="D176">
        <v>1946</v>
      </c>
      <c r="E176">
        <v>270</v>
      </c>
      <c r="F176">
        <f>Engagement_Summary[[#This Row],[New_Followers]]-Engagement_Summary[[#This Row],[Unfollows]]</f>
        <v>1676</v>
      </c>
      <c r="G176">
        <v>198350</v>
      </c>
      <c r="H176" s="10">
        <f>Engagement_Summary[[#This Row],[Growth]]/Engagement_Summary[[#This Row],[Total_Followers]]</f>
        <v>8.4497101083942528E-3</v>
      </c>
      <c r="I176">
        <v>7.5</v>
      </c>
      <c r="J176">
        <v>11805</v>
      </c>
      <c r="K176" t="str">
        <f>IF(AND(A176&gt;=Campaign!$B$2,A176&lt;=Campaign!$C$2),"CybertruckLaunch",IF(AND(A176&gt;=Campaign!$B$3,A176&lt;=Campaign!$C$3),"ModelYcampaign",IF(AND(A176&gt;=Campaign!$B$4,A176&lt;=Campaign!$C$4),"FSDUpdate",IF(AND(A176&gt;=Campaign!$B$5,A176&lt;=Campaign!$C$5),"SustainabilityDrive","No Campaign"))))</f>
        <v>SustainabilityDrive</v>
      </c>
    </row>
    <row r="177" spans="1:11" x14ac:dyDescent="0.35">
      <c r="A177" s="2">
        <v>45747</v>
      </c>
      <c r="B177" s="12">
        <f t="shared" si="5"/>
        <v>44</v>
      </c>
      <c r="C177" s="1" t="s">
        <v>32</v>
      </c>
      <c r="D177">
        <v>1957</v>
      </c>
      <c r="E177">
        <v>490</v>
      </c>
      <c r="F177">
        <f>Engagement_Summary[[#This Row],[New_Followers]]-Engagement_Summary[[#This Row],[Unfollows]]</f>
        <v>1467</v>
      </c>
      <c r="G177">
        <v>435726</v>
      </c>
      <c r="H177" s="10">
        <f>Engagement_Summary[[#This Row],[Growth]]/Engagement_Summary[[#This Row],[Total_Followers]]</f>
        <v>3.3667947287974553E-3</v>
      </c>
      <c r="I177">
        <v>4.7300000000000004</v>
      </c>
      <c r="J177">
        <v>15969</v>
      </c>
      <c r="K177" t="str">
        <f>IF(AND(A177&gt;=Campaign!$B$2,A177&lt;=Campaign!$C$2),"CybertruckLaunch",IF(AND(A177&gt;=Campaign!$B$3,A177&lt;=Campaign!$C$3),"ModelYcampaign",IF(AND(A177&gt;=Campaign!$B$4,A177&lt;=Campaign!$C$4),"FSDUpdate",IF(AND(A177&gt;=Campaign!$B$5,A177&lt;=Campaign!$C$5),"SustainabilityDrive","No Campaign"))))</f>
        <v>SustainabilityDrive</v>
      </c>
    </row>
    <row r="178" spans="1:11" x14ac:dyDescent="0.35">
      <c r="A178" s="2">
        <v>45754</v>
      </c>
      <c r="B178" s="12">
        <f t="shared" si="5"/>
        <v>45</v>
      </c>
      <c r="C178" s="1" t="s">
        <v>29</v>
      </c>
      <c r="D178">
        <v>559</v>
      </c>
      <c r="E178">
        <v>392</v>
      </c>
      <c r="F178">
        <f>Engagement_Summary[[#This Row],[New_Followers]]-Engagement_Summary[[#This Row],[Unfollows]]</f>
        <v>167</v>
      </c>
      <c r="G178">
        <v>78789</v>
      </c>
      <c r="H178" s="10">
        <f>Engagement_Summary[[#This Row],[Growth]]/Engagement_Summary[[#This Row],[Total_Followers]]</f>
        <v>2.1195852212872357E-3</v>
      </c>
      <c r="I178">
        <v>3.19</v>
      </c>
      <c r="J178">
        <v>2436</v>
      </c>
      <c r="K178" t="str">
        <f>IF(AND(A178&gt;=Campaign!$B$2,A178&lt;=Campaign!$C$2),"CybertruckLaunch",IF(AND(A178&gt;=Campaign!$B$3,A178&lt;=Campaign!$C$3),"ModelYcampaign",IF(AND(A178&gt;=Campaign!$B$4,A178&lt;=Campaign!$C$4),"FSDUpdate",IF(AND(A178&gt;=Campaign!$B$5,A178&lt;=Campaign!$C$5),"SustainabilityDrive","No Campaign"))))</f>
        <v>No Campaign</v>
      </c>
    </row>
    <row r="179" spans="1:11" x14ac:dyDescent="0.35">
      <c r="A179" s="2">
        <v>45754</v>
      </c>
      <c r="B179" s="12">
        <f t="shared" si="5"/>
        <v>45</v>
      </c>
      <c r="C179" s="1" t="s">
        <v>30</v>
      </c>
      <c r="D179">
        <v>1307</v>
      </c>
      <c r="E179">
        <v>278</v>
      </c>
      <c r="F179">
        <f>Engagement_Summary[[#This Row],[New_Followers]]-Engagement_Summary[[#This Row],[Unfollows]]</f>
        <v>1029</v>
      </c>
      <c r="G179">
        <v>98596</v>
      </c>
      <c r="H179" s="10">
        <f>Engagement_Summary[[#This Row],[Growth]]/Engagement_Summary[[#This Row],[Total_Followers]]</f>
        <v>1.0436528865268368E-2</v>
      </c>
      <c r="I179">
        <v>2.4900000000000002</v>
      </c>
      <c r="J179">
        <v>47603</v>
      </c>
      <c r="K179" t="str">
        <f>IF(AND(A179&gt;=Campaign!$B$2,A179&lt;=Campaign!$C$2),"CybertruckLaunch",IF(AND(A179&gt;=Campaign!$B$3,A179&lt;=Campaign!$C$3),"ModelYcampaign",IF(AND(A179&gt;=Campaign!$B$4,A179&lt;=Campaign!$C$4),"FSDUpdate",IF(AND(A179&gt;=Campaign!$B$5,A179&lt;=Campaign!$C$5),"SustainabilityDrive","No Campaign"))))</f>
        <v>No Campaign</v>
      </c>
    </row>
    <row r="180" spans="1:11" x14ac:dyDescent="0.35">
      <c r="A180" s="2">
        <v>45754</v>
      </c>
      <c r="B180" s="12">
        <f t="shared" si="5"/>
        <v>45</v>
      </c>
      <c r="C180" s="1" t="s">
        <v>31</v>
      </c>
      <c r="D180">
        <v>1432</v>
      </c>
      <c r="E180">
        <v>425</v>
      </c>
      <c r="F180">
        <f>Engagement_Summary[[#This Row],[New_Followers]]-Engagement_Summary[[#This Row],[Unfollows]]</f>
        <v>1007</v>
      </c>
      <c r="G180">
        <v>29589</v>
      </c>
      <c r="H180" s="10">
        <f>Engagement_Summary[[#This Row],[Growth]]/Engagement_Summary[[#This Row],[Total_Followers]]</f>
        <v>3.4032917638311531E-2</v>
      </c>
      <c r="I180">
        <v>4.5</v>
      </c>
      <c r="J180">
        <v>42964</v>
      </c>
      <c r="K180" t="str">
        <f>IF(AND(A180&gt;=Campaign!$B$2,A180&lt;=Campaign!$C$2),"CybertruckLaunch",IF(AND(A180&gt;=Campaign!$B$3,A180&lt;=Campaign!$C$3),"ModelYcampaign",IF(AND(A180&gt;=Campaign!$B$4,A180&lt;=Campaign!$C$4),"FSDUpdate",IF(AND(A180&gt;=Campaign!$B$5,A180&lt;=Campaign!$C$5),"SustainabilityDrive","No Campaign"))))</f>
        <v>No Campaign</v>
      </c>
    </row>
    <row r="181" spans="1:11" x14ac:dyDescent="0.35">
      <c r="A181" s="2">
        <v>45754</v>
      </c>
      <c r="B181" s="12">
        <f t="shared" si="5"/>
        <v>45</v>
      </c>
      <c r="C181" s="1" t="s">
        <v>32</v>
      </c>
      <c r="D181">
        <v>623</v>
      </c>
      <c r="E181">
        <v>414</v>
      </c>
      <c r="F181">
        <f>Engagement_Summary[[#This Row],[New_Followers]]-Engagement_Summary[[#This Row],[Unfollows]]</f>
        <v>209</v>
      </c>
      <c r="G181">
        <v>290354</v>
      </c>
      <c r="H181" s="10">
        <f>Engagement_Summary[[#This Row],[Growth]]/Engagement_Summary[[#This Row],[Total_Followers]]</f>
        <v>7.1981098934404211E-4</v>
      </c>
      <c r="I181">
        <v>6.49</v>
      </c>
      <c r="J181">
        <v>39923</v>
      </c>
      <c r="K181" t="str">
        <f>IF(AND(A181&gt;=Campaign!$B$2,A181&lt;=Campaign!$C$2),"CybertruckLaunch",IF(AND(A181&gt;=Campaign!$B$3,A181&lt;=Campaign!$C$3),"ModelYcampaign",IF(AND(A181&gt;=Campaign!$B$4,A181&lt;=Campaign!$C$4),"FSDUpdate",IF(AND(A181&gt;=Campaign!$B$5,A181&lt;=Campaign!$C$5),"SustainabilityDrive","No Campaign"))))</f>
        <v>No Campaign</v>
      </c>
    </row>
    <row r="182" spans="1:11" x14ac:dyDescent="0.35">
      <c r="A182" s="2">
        <v>45761</v>
      </c>
      <c r="B182" s="12">
        <f t="shared" si="5"/>
        <v>46</v>
      </c>
      <c r="C182" s="1" t="s">
        <v>29</v>
      </c>
      <c r="D182">
        <v>198</v>
      </c>
      <c r="E182">
        <v>358</v>
      </c>
      <c r="F182">
        <f>Engagement_Summary[[#This Row],[New_Followers]]-Engagement_Summary[[#This Row],[Unfollows]]</f>
        <v>-160</v>
      </c>
      <c r="G182">
        <v>66682</v>
      </c>
      <c r="H182" s="10">
        <f>Engagement_Summary[[#This Row],[Growth]]/Engagement_Summary[[#This Row],[Total_Followers]]</f>
        <v>-2.3994481269308059E-3</v>
      </c>
      <c r="I182">
        <v>6.73</v>
      </c>
      <c r="J182">
        <v>2293</v>
      </c>
      <c r="K182" t="str">
        <f>IF(AND(A182&gt;=Campaign!$B$2,A182&lt;=Campaign!$C$2),"CybertruckLaunch",IF(AND(A182&gt;=Campaign!$B$3,A182&lt;=Campaign!$C$3),"ModelYcampaign",IF(AND(A182&gt;=Campaign!$B$4,A182&lt;=Campaign!$C$4),"FSDUpdate",IF(AND(A182&gt;=Campaign!$B$5,A182&lt;=Campaign!$C$5),"SustainabilityDrive","No Campaign"))))</f>
        <v>No Campaign</v>
      </c>
    </row>
    <row r="183" spans="1:11" x14ac:dyDescent="0.35">
      <c r="A183" s="2">
        <v>45761</v>
      </c>
      <c r="B183" s="12">
        <f t="shared" si="5"/>
        <v>46</v>
      </c>
      <c r="C183" s="1" t="s">
        <v>30</v>
      </c>
      <c r="D183">
        <v>198</v>
      </c>
      <c r="E183">
        <v>373</v>
      </c>
      <c r="F183">
        <f>Engagement_Summary[[#This Row],[New_Followers]]-Engagement_Summary[[#This Row],[Unfollows]]</f>
        <v>-175</v>
      </c>
      <c r="G183">
        <v>70707</v>
      </c>
      <c r="H183" s="10">
        <f>Engagement_Summary[[#This Row],[Growth]]/Engagement_Summary[[#This Row],[Total_Followers]]</f>
        <v>-2.4750024750024749E-3</v>
      </c>
      <c r="I183">
        <v>4.83</v>
      </c>
      <c r="J183">
        <v>25920</v>
      </c>
      <c r="K183" t="str">
        <f>IF(AND(A183&gt;=Campaign!$B$2,A183&lt;=Campaign!$C$2),"CybertruckLaunch",IF(AND(A183&gt;=Campaign!$B$3,A183&lt;=Campaign!$C$3),"ModelYcampaign",IF(AND(A183&gt;=Campaign!$B$4,A183&lt;=Campaign!$C$4),"FSDUpdate",IF(AND(A183&gt;=Campaign!$B$5,A183&lt;=Campaign!$C$5),"SustainabilityDrive","No Campaign"))))</f>
        <v>No Campaign</v>
      </c>
    </row>
    <row r="184" spans="1:11" x14ac:dyDescent="0.35">
      <c r="A184" s="2">
        <v>45761</v>
      </c>
      <c r="B184" s="12">
        <f t="shared" si="5"/>
        <v>46</v>
      </c>
      <c r="C184" s="1" t="s">
        <v>31</v>
      </c>
      <c r="D184">
        <v>353</v>
      </c>
      <c r="E184">
        <v>300</v>
      </c>
      <c r="F184">
        <f>Engagement_Summary[[#This Row],[New_Followers]]-Engagement_Summary[[#This Row],[Unfollows]]</f>
        <v>53</v>
      </c>
      <c r="G184">
        <v>142507</v>
      </c>
      <c r="H184" s="10">
        <f>Engagement_Summary[[#This Row],[Growth]]/Engagement_Summary[[#This Row],[Total_Followers]]</f>
        <v>3.7191155522184875E-4</v>
      </c>
      <c r="I184">
        <v>5.3</v>
      </c>
      <c r="J184">
        <v>11035</v>
      </c>
      <c r="K184" t="str">
        <f>IF(AND(A184&gt;=Campaign!$B$2,A184&lt;=Campaign!$C$2),"CybertruckLaunch",IF(AND(A184&gt;=Campaign!$B$3,A184&lt;=Campaign!$C$3),"ModelYcampaign",IF(AND(A184&gt;=Campaign!$B$4,A184&lt;=Campaign!$C$4),"FSDUpdate",IF(AND(A184&gt;=Campaign!$B$5,A184&lt;=Campaign!$C$5),"SustainabilityDrive","No Campaign"))))</f>
        <v>No Campaign</v>
      </c>
    </row>
    <row r="185" spans="1:11" x14ac:dyDescent="0.35">
      <c r="A185" s="2">
        <v>45761</v>
      </c>
      <c r="B185" s="12">
        <f t="shared" si="5"/>
        <v>46</v>
      </c>
      <c r="C185" s="1" t="s">
        <v>32</v>
      </c>
      <c r="D185">
        <v>520</v>
      </c>
      <c r="E185">
        <v>375</v>
      </c>
      <c r="F185">
        <f>Engagement_Summary[[#This Row],[New_Followers]]-Engagement_Summary[[#This Row],[Unfollows]]</f>
        <v>145</v>
      </c>
      <c r="G185">
        <v>369525</v>
      </c>
      <c r="H185" s="10">
        <f>Engagement_Summary[[#This Row],[Growth]]/Engagement_Summary[[#This Row],[Total_Followers]]</f>
        <v>3.9239564305527366E-4</v>
      </c>
      <c r="I185">
        <v>6.54</v>
      </c>
      <c r="J185">
        <v>20733</v>
      </c>
      <c r="K185" t="str">
        <f>IF(AND(A185&gt;=Campaign!$B$2,A185&lt;=Campaign!$C$2),"CybertruckLaunch",IF(AND(A185&gt;=Campaign!$B$3,A185&lt;=Campaign!$C$3),"ModelYcampaign",IF(AND(A185&gt;=Campaign!$B$4,A185&lt;=Campaign!$C$4),"FSDUpdate",IF(AND(A185&gt;=Campaign!$B$5,A185&lt;=Campaign!$C$5),"SustainabilityDrive","No Campaign"))))</f>
        <v>No Campaign</v>
      </c>
    </row>
    <row r="186" spans="1:11" x14ac:dyDescent="0.35">
      <c r="A186" s="2">
        <v>45768</v>
      </c>
      <c r="B186" s="12">
        <f t="shared" si="5"/>
        <v>47</v>
      </c>
      <c r="C186" s="1" t="s">
        <v>29</v>
      </c>
      <c r="D186">
        <v>961</v>
      </c>
      <c r="E186">
        <v>358</v>
      </c>
      <c r="F186">
        <f>Engagement_Summary[[#This Row],[New_Followers]]-Engagement_Summary[[#This Row],[Unfollows]]</f>
        <v>603</v>
      </c>
      <c r="G186">
        <v>62942</v>
      </c>
      <c r="H186" s="10">
        <f>Engagement_Summary[[#This Row],[Growth]]/Engagement_Summary[[#This Row],[Total_Followers]]</f>
        <v>9.5802484827301332E-3</v>
      </c>
      <c r="I186">
        <v>6.8</v>
      </c>
      <c r="J186">
        <v>18693</v>
      </c>
      <c r="K186" t="str">
        <f>IF(AND(A186&gt;=Campaign!$B$2,A186&lt;=Campaign!$C$2),"CybertruckLaunch",IF(AND(A186&gt;=Campaign!$B$3,A186&lt;=Campaign!$C$3),"ModelYcampaign",IF(AND(A186&gt;=Campaign!$B$4,A186&lt;=Campaign!$C$4),"FSDUpdate",IF(AND(A186&gt;=Campaign!$B$5,A186&lt;=Campaign!$C$5),"SustainabilityDrive","No Campaign"))))</f>
        <v>No Campaign</v>
      </c>
    </row>
    <row r="187" spans="1:11" x14ac:dyDescent="0.35">
      <c r="A187" s="2">
        <v>45768</v>
      </c>
      <c r="B187" s="12">
        <f t="shared" si="5"/>
        <v>47</v>
      </c>
      <c r="C187" s="1" t="s">
        <v>30</v>
      </c>
      <c r="D187">
        <v>1375</v>
      </c>
      <c r="E187">
        <v>330</v>
      </c>
      <c r="F187">
        <f>Engagement_Summary[[#This Row],[New_Followers]]-Engagement_Summary[[#This Row],[Unfollows]]</f>
        <v>1045</v>
      </c>
      <c r="G187">
        <v>377382</v>
      </c>
      <c r="H187" s="10">
        <f>Engagement_Summary[[#This Row],[Growth]]/Engagement_Summary[[#This Row],[Total_Followers]]</f>
        <v>2.7690774864725927E-3</v>
      </c>
      <c r="I187">
        <v>2.6</v>
      </c>
      <c r="J187">
        <v>7875</v>
      </c>
      <c r="K187" t="str">
        <f>IF(AND(A187&gt;=Campaign!$B$2,A187&lt;=Campaign!$C$2),"CybertruckLaunch",IF(AND(A187&gt;=Campaign!$B$3,A187&lt;=Campaign!$C$3),"ModelYcampaign",IF(AND(A187&gt;=Campaign!$B$4,A187&lt;=Campaign!$C$4),"FSDUpdate",IF(AND(A187&gt;=Campaign!$B$5,A187&lt;=Campaign!$C$5),"SustainabilityDrive","No Campaign"))))</f>
        <v>No Campaign</v>
      </c>
    </row>
    <row r="188" spans="1:11" x14ac:dyDescent="0.35">
      <c r="A188" s="2">
        <v>45768</v>
      </c>
      <c r="B188" s="12">
        <f t="shared" si="5"/>
        <v>47</v>
      </c>
      <c r="C188" s="1" t="s">
        <v>31</v>
      </c>
      <c r="D188">
        <v>1147</v>
      </c>
      <c r="E188">
        <v>388</v>
      </c>
      <c r="F188">
        <f>Engagement_Summary[[#This Row],[New_Followers]]-Engagement_Summary[[#This Row],[Unfollows]]</f>
        <v>759</v>
      </c>
      <c r="G188">
        <v>333851</v>
      </c>
      <c r="H188" s="10">
        <f>Engagement_Summary[[#This Row],[Growth]]/Engagement_Summary[[#This Row],[Total_Followers]]</f>
        <v>2.2734693021737242E-3</v>
      </c>
      <c r="I188">
        <v>2.44</v>
      </c>
      <c r="J188">
        <v>8471</v>
      </c>
      <c r="K188" t="str">
        <f>IF(AND(A188&gt;=Campaign!$B$2,A188&lt;=Campaign!$C$2),"CybertruckLaunch",IF(AND(A188&gt;=Campaign!$B$3,A188&lt;=Campaign!$C$3),"ModelYcampaign",IF(AND(A188&gt;=Campaign!$B$4,A188&lt;=Campaign!$C$4),"FSDUpdate",IF(AND(A188&gt;=Campaign!$B$5,A188&lt;=Campaign!$C$5),"SustainabilityDrive","No Campaign"))))</f>
        <v>No Campaign</v>
      </c>
    </row>
    <row r="189" spans="1:11" x14ac:dyDescent="0.35">
      <c r="A189" s="2">
        <v>45768</v>
      </c>
      <c r="B189" s="12">
        <f t="shared" si="5"/>
        <v>47</v>
      </c>
      <c r="C189" s="1" t="s">
        <v>32</v>
      </c>
      <c r="D189">
        <v>1707</v>
      </c>
      <c r="E189">
        <v>74</v>
      </c>
      <c r="F189">
        <f>Engagement_Summary[[#This Row],[New_Followers]]-Engagement_Summary[[#This Row],[Unfollows]]</f>
        <v>1633</v>
      </c>
      <c r="G189">
        <v>270958</v>
      </c>
      <c r="H189" s="10">
        <f>Engagement_Summary[[#This Row],[Growth]]/Engagement_Summary[[#This Row],[Total_Followers]]</f>
        <v>6.0267642955734836E-3</v>
      </c>
      <c r="I189">
        <v>3.09</v>
      </c>
      <c r="J189">
        <v>14090</v>
      </c>
      <c r="K189" t="str">
        <f>IF(AND(A189&gt;=Campaign!$B$2,A189&lt;=Campaign!$C$2),"CybertruckLaunch",IF(AND(A189&gt;=Campaign!$B$3,A189&lt;=Campaign!$C$3),"ModelYcampaign",IF(AND(A189&gt;=Campaign!$B$4,A189&lt;=Campaign!$C$4),"FSDUpdate",IF(AND(A189&gt;=Campaign!$B$5,A189&lt;=Campaign!$C$5),"SustainabilityDrive","No Campaign"))))</f>
        <v>No Campaign</v>
      </c>
    </row>
    <row r="190" spans="1:11" x14ac:dyDescent="0.35">
      <c r="A190" s="2">
        <v>45775</v>
      </c>
      <c r="B190" s="12">
        <f t="shared" si="5"/>
        <v>48</v>
      </c>
      <c r="C190" s="1" t="s">
        <v>29</v>
      </c>
      <c r="D190">
        <v>1693</v>
      </c>
      <c r="E190">
        <v>154</v>
      </c>
      <c r="F190">
        <f>Engagement_Summary[[#This Row],[New_Followers]]-Engagement_Summary[[#This Row],[Unfollows]]</f>
        <v>1539</v>
      </c>
      <c r="G190">
        <v>445944</v>
      </c>
      <c r="H190" s="10">
        <f>Engagement_Summary[[#This Row],[Growth]]/Engagement_Summary[[#This Row],[Total_Followers]]</f>
        <v>3.4511059684624078E-3</v>
      </c>
      <c r="I190">
        <v>5.69</v>
      </c>
      <c r="J190">
        <v>14216</v>
      </c>
      <c r="K190" t="str">
        <f>IF(AND(A190&gt;=Campaign!$B$2,A190&lt;=Campaign!$C$2),"CybertruckLaunch",IF(AND(A190&gt;=Campaign!$B$3,A190&lt;=Campaign!$C$3),"ModelYcampaign",IF(AND(A190&gt;=Campaign!$B$4,A190&lt;=Campaign!$C$4),"FSDUpdate",IF(AND(A190&gt;=Campaign!$B$5,A190&lt;=Campaign!$C$5),"SustainabilityDrive","No Campaign"))))</f>
        <v>No Campaign</v>
      </c>
    </row>
    <row r="191" spans="1:11" x14ac:dyDescent="0.35">
      <c r="A191" s="2">
        <v>45775</v>
      </c>
      <c r="B191" s="12">
        <f t="shared" si="5"/>
        <v>48</v>
      </c>
      <c r="C191" s="1" t="s">
        <v>30</v>
      </c>
      <c r="D191">
        <v>833</v>
      </c>
      <c r="E191">
        <v>380</v>
      </c>
      <c r="F191">
        <f>Engagement_Summary[[#This Row],[New_Followers]]-Engagement_Summary[[#This Row],[Unfollows]]</f>
        <v>453</v>
      </c>
      <c r="G191">
        <v>224830</v>
      </c>
      <c r="H191" s="10">
        <f>Engagement_Summary[[#This Row],[Growth]]/Engagement_Summary[[#This Row],[Total_Followers]]</f>
        <v>2.014855668727483E-3</v>
      </c>
      <c r="I191">
        <v>3.86</v>
      </c>
      <c r="J191">
        <v>3582</v>
      </c>
      <c r="K191" t="str">
        <f>IF(AND(A191&gt;=Campaign!$B$2,A191&lt;=Campaign!$C$2),"CybertruckLaunch",IF(AND(A191&gt;=Campaign!$B$3,A191&lt;=Campaign!$C$3),"ModelYcampaign",IF(AND(A191&gt;=Campaign!$B$4,A191&lt;=Campaign!$C$4),"FSDUpdate",IF(AND(A191&gt;=Campaign!$B$5,A191&lt;=Campaign!$C$5),"SustainabilityDrive","No Campaign"))))</f>
        <v>No Campaign</v>
      </c>
    </row>
    <row r="192" spans="1:11" x14ac:dyDescent="0.35">
      <c r="A192" s="2">
        <v>45775</v>
      </c>
      <c r="B192" s="12">
        <f t="shared" si="5"/>
        <v>48</v>
      </c>
      <c r="C192" s="1" t="s">
        <v>31</v>
      </c>
      <c r="D192">
        <v>1222</v>
      </c>
      <c r="E192">
        <v>274</v>
      </c>
      <c r="F192">
        <f>Engagement_Summary[[#This Row],[New_Followers]]-Engagement_Summary[[#This Row],[Unfollows]]</f>
        <v>948</v>
      </c>
      <c r="G192">
        <v>487289</v>
      </c>
      <c r="H192" s="10">
        <f>Engagement_Summary[[#This Row],[Growth]]/Engagement_Summary[[#This Row],[Total_Followers]]</f>
        <v>1.9454574184929272E-3</v>
      </c>
      <c r="I192">
        <v>3.16</v>
      </c>
      <c r="J192">
        <v>32500</v>
      </c>
      <c r="K192" t="str">
        <f>IF(AND(A192&gt;=Campaign!$B$2,A192&lt;=Campaign!$C$2),"CybertruckLaunch",IF(AND(A192&gt;=Campaign!$B$3,A192&lt;=Campaign!$C$3),"ModelYcampaign",IF(AND(A192&gt;=Campaign!$B$4,A192&lt;=Campaign!$C$4),"FSDUpdate",IF(AND(A192&gt;=Campaign!$B$5,A192&lt;=Campaign!$C$5),"SustainabilityDrive","No Campaign"))))</f>
        <v>No Campaign</v>
      </c>
    </row>
    <row r="193" spans="1:11" x14ac:dyDescent="0.35">
      <c r="A193" s="2">
        <v>45775</v>
      </c>
      <c r="B193" s="12">
        <f t="shared" si="5"/>
        <v>48</v>
      </c>
      <c r="C193" s="1" t="s">
        <v>32</v>
      </c>
      <c r="D193">
        <v>777</v>
      </c>
      <c r="E193">
        <v>140</v>
      </c>
      <c r="F193">
        <f>Engagement_Summary[[#This Row],[New_Followers]]-Engagement_Summary[[#This Row],[Unfollows]]</f>
        <v>637</v>
      </c>
      <c r="G193">
        <v>11435</v>
      </c>
      <c r="H193" s="10">
        <f>Engagement_Summary[[#This Row],[Growth]]/Engagement_Summary[[#This Row],[Total_Followers]]</f>
        <v>5.5706165282028861E-2</v>
      </c>
      <c r="I193">
        <v>1.6</v>
      </c>
      <c r="J193">
        <v>6832</v>
      </c>
      <c r="K193" t="str">
        <f>IF(AND(A193&gt;=Campaign!$B$2,A193&lt;=Campaign!$C$2),"CybertruckLaunch",IF(AND(A193&gt;=Campaign!$B$3,A193&lt;=Campaign!$C$3),"ModelYcampaign",IF(AND(A193&gt;=Campaign!$B$4,A193&lt;=Campaign!$C$4),"FSDUpdate",IF(AND(A193&gt;=Campaign!$B$5,A193&lt;=Campaign!$C$5),"SustainabilityDrive","No Campaign"))))</f>
        <v>No Campaign</v>
      </c>
    </row>
    <row r="194" spans="1:11" x14ac:dyDescent="0.35">
      <c r="A194" s="2">
        <v>45782</v>
      </c>
      <c r="B194" s="12">
        <f t="shared" ref="B194:B201" si="6">MATCH(A194,_xlfn.UNIQUE($A$2:$A$200),0)</f>
        <v>49</v>
      </c>
      <c r="C194" s="1" t="s">
        <v>29</v>
      </c>
      <c r="D194">
        <v>1957</v>
      </c>
      <c r="E194">
        <v>76</v>
      </c>
      <c r="F194">
        <f>Engagement_Summary[[#This Row],[New_Followers]]-Engagement_Summary[[#This Row],[Unfollows]]</f>
        <v>1881</v>
      </c>
      <c r="G194">
        <v>447902</v>
      </c>
      <c r="H194" s="10">
        <f>Engagement_Summary[[#This Row],[Growth]]/Engagement_Summary[[#This Row],[Total_Followers]]</f>
        <v>4.1995793722733989E-3</v>
      </c>
      <c r="I194">
        <v>6.09</v>
      </c>
      <c r="J194">
        <v>33381</v>
      </c>
      <c r="K194" t="str">
        <f>IF(AND(A194&gt;=Campaign!$B$2,A194&lt;=Campaign!$C$2),"CybertruckLaunch",IF(AND(A194&gt;=Campaign!$B$3,A194&lt;=Campaign!$C$3),"ModelYcampaign",IF(AND(A194&gt;=Campaign!$B$4,A194&lt;=Campaign!$C$4),"FSDUpdate",IF(AND(A194&gt;=Campaign!$B$5,A194&lt;=Campaign!$C$5),"SustainabilityDrive","No Campaign"))))</f>
        <v>No Campaign</v>
      </c>
    </row>
    <row r="195" spans="1:11" x14ac:dyDescent="0.35">
      <c r="A195" s="2">
        <v>45782</v>
      </c>
      <c r="B195" s="12">
        <f t="shared" si="6"/>
        <v>49</v>
      </c>
      <c r="C195" s="1" t="s">
        <v>30</v>
      </c>
      <c r="D195">
        <v>405</v>
      </c>
      <c r="E195">
        <v>66</v>
      </c>
      <c r="F195">
        <f>Engagement_Summary[[#This Row],[New_Followers]]-Engagement_Summary[[#This Row],[Unfollows]]</f>
        <v>339</v>
      </c>
      <c r="G195">
        <v>418696</v>
      </c>
      <c r="H195" s="10">
        <f>Engagement_Summary[[#This Row],[Growth]]/Engagement_Summary[[#This Row],[Total_Followers]]</f>
        <v>8.0965664826031301E-4</v>
      </c>
      <c r="I195">
        <v>5.59</v>
      </c>
      <c r="J195">
        <v>48419</v>
      </c>
      <c r="K195" t="str">
        <f>IF(AND(A195&gt;=Campaign!$B$2,A195&lt;=Campaign!$C$2),"CybertruckLaunch",IF(AND(A195&gt;=Campaign!$B$3,A195&lt;=Campaign!$C$3),"ModelYcampaign",IF(AND(A195&gt;=Campaign!$B$4,A195&lt;=Campaign!$C$4),"FSDUpdate",IF(AND(A195&gt;=Campaign!$B$5,A195&lt;=Campaign!$C$5),"SustainabilityDrive","No Campaign"))))</f>
        <v>No Campaign</v>
      </c>
    </row>
    <row r="196" spans="1:11" x14ac:dyDescent="0.35">
      <c r="A196" s="2">
        <v>45782</v>
      </c>
      <c r="B196" s="12">
        <f t="shared" si="6"/>
        <v>49</v>
      </c>
      <c r="C196" s="1" t="s">
        <v>31</v>
      </c>
      <c r="D196">
        <v>1581</v>
      </c>
      <c r="E196">
        <v>71</v>
      </c>
      <c r="F196">
        <f>Engagement_Summary[[#This Row],[New_Followers]]-Engagement_Summary[[#This Row],[Unfollows]]</f>
        <v>1510</v>
      </c>
      <c r="G196">
        <v>484364</v>
      </c>
      <c r="H196" s="10">
        <f>Engagement_Summary[[#This Row],[Growth]]/Engagement_Summary[[#This Row],[Total_Followers]]</f>
        <v>3.1174901520344203E-3</v>
      </c>
      <c r="I196">
        <v>3.55</v>
      </c>
      <c r="J196">
        <v>16149</v>
      </c>
      <c r="K196" t="str">
        <f>IF(AND(A196&gt;=Campaign!$B$2,A196&lt;=Campaign!$C$2),"CybertruckLaunch",IF(AND(A196&gt;=Campaign!$B$3,A196&lt;=Campaign!$C$3),"ModelYcampaign",IF(AND(A196&gt;=Campaign!$B$4,A196&lt;=Campaign!$C$4),"FSDUpdate",IF(AND(A196&gt;=Campaign!$B$5,A196&lt;=Campaign!$C$5),"SustainabilityDrive","No Campaign"))))</f>
        <v>No Campaign</v>
      </c>
    </row>
    <row r="197" spans="1:11" x14ac:dyDescent="0.35">
      <c r="A197" s="2">
        <v>45782</v>
      </c>
      <c r="B197" s="12">
        <f t="shared" si="6"/>
        <v>49</v>
      </c>
      <c r="C197" s="1" t="s">
        <v>32</v>
      </c>
      <c r="D197">
        <v>1035</v>
      </c>
      <c r="E197">
        <v>171</v>
      </c>
      <c r="F197">
        <f>Engagement_Summary[[#This Row],[New_Followers]]-Engagement_Summary[[#This Row],[Unfollows]]</f>
        <v>864</v>
      </c>
      <c r="G197">
        <v>148477</v>
      </c>
      <c r="H197" s="10">
        <f>Engagement_Summary[[#This Row],[Growth]]/Engagement_Summary[[#This Row],[Total_Followers]]</f>
        <v>5.8190830903102836E-3</v>
      </c>
      <c r="I197">
        <v>5.21</v>
      </c>
      <c r="J197">
        <v>7541</v>
      </c>
      <c r="K197" t="str">
        <f>IF(AND(A197&gt;=Campaign!$B$2,A197&lt;=Campaign!$C$2),"CybertruckLaunch",IF(AND(A197&gt;=Campaign!$B$3,A197&lt;=Campaign!$C$3),"ModelYcampaign",IF(AND(A197&gt;=Campaign!$B$4,A197&lt;=Campaign!$C$4),"FSDUpdate",IF(AND(A197&gt;=Campaign!$B$5,A197&lt;=Campaign!$C$5),"SustainabilityDrive","No Campaign"))))</f>
        <v>No Campaign</v>
      </c>
    </row>
    <row r="198" spans="1:11" x14ac:dyDescent="0.35">
      <c r="A198" s="2">
        <v>45789</v>
      </c>
      <c r="B198" s="12">
        <f t="shared" si="6"/>
        <v>50</v>
      </c>
      <c r="C198" s="1" t="s">
        <v>29</v>
      </c>
      <c r="D198">
        <v>1765</v>
      </c>
      <c r="E198">
        <v>109</v>
      </c>
      <c r="F198">
        <f>Engagement_Summary[[#This Row],[New_Followers]]-Engagement_Summary[[#This Row],[Unfollows]]</f>
        <v>1656</v>
      </c>
      <c r="G198">
        <v>468301</v>
      </c>
      <c r="H198" s="10">
        <f>Engagement_Summary[[#This Row],[Growth]]/Engagement_Summary[[#This Row],[Total_Followers]]</f>
        <v>3.5361871958419907E-3</v>
      </c>
      <c r="I198">
        <v>1.82</v>
      </c>
      <c r="J198">
        <v>20042</v>
      </c>
      <c r="K198" t="str">
        <f>IF(AND(A198&gt;=Campaign!$B$2,A198&lt;=Campaign!$C$2),"CybertruckLaunch",IF(AND(A198&gt;=Campaign!$B$3,A198&lt;=Campaign!$C$3),"ModelYcampaign",IF(AND(A198&gt;=Campaign!$B$4,A198&lt;=Campaign!$C$4),"FSDUpdate",IF(AND(A198&gt;=Campaign!$B$5,A198&lt;=Campaign!$C$5),"SustainabilityDrive","No Campaign"))))</f>
        <v>No Campaign</v>
      </c>
    </row>
    <row r="199" spans="1:11" x14ac:dyDescent="0.35">
      <c r="A199" s="2">
        <v>45789</v>
      </c>
      <c r="B199" s="12">
        <f t="shared" si="6"/>
        <v>50</v>
      </c>
      <c r="C199" s="1" t="s">
        <v>30</v>
      </c>
      <c r="D199">
        <v>837</v>
      </c>
      <c r="E199">
        <v>430</v>
      </c>
      <c r="F199">
        <f>Engagement_Summary[[#This Row],[New_Followers]]-Engagement_Summary[[#This Row],[Unfollows]]</f>
        <v>407</v>
      </c>
      <c r="G199">
        <v>364820</v>
      </c>
      <c r="H199" s="10">
        <f>Engagement_Summary[[#This Row],[Growth]]/Engagement_Summary[[#This Row],[Total_Followers]]</f>
        <v>1.1156186612576065E-3</v>
      </c>
      <c r="I199">
        <v>4</v>
      </c>
      <c r="J199">
        <v>49400</v>
      </c>
      <c r="K199" t="str">
        <f>IF(AND(A199&gt;=Campaign!$B$2,A199&lt;=Campaign!$C$2),"CybertruckLaunch",IF(AND(A199&gt;=Campaign!$B$3,A199&lt;=Campaign!$C$3),"ModelYcampaign",IF(AND(A199&gt;=Campaign!$B$4,A199&lt;=Campaign!$C$4),"FSDUpdate",IF(AND(A199&gt;=Campaign!$B$5,A199&lt;=Campaign!$C$5),"SustainabilityDrive","No Campaign"))))</f>
        <v>No Campaign</v>
      </c>
    </row>
    <row r="200" spans="1:11" x14ac:dyDescent="0.35">
      <c r="A200" s="2">
        <v>45789</v>
      </c>
      <c r="B200" s="12">
        <f t="shared" si="6"/>
        <v>50</v>
      </c>
      <c r="C200" s="1" t="s">
        <v>31</v>
      </c>
      <c r="D200">
        <v>337</v>
      </c>
      <c r="E200">
        <v>68</v>
      </c>
      <c r="F200">
        <f>Engagement_Summary[[#This Row],[New_Followers]]-Engagement_Summary[[#This Row],[Unfollows]]</f>
        <v>269</v>
      </c>
      <c r="G200">
        <v>456298</v>
      </c>
      <c r="H200" s="10">
        <f>Engagement_Summary[[#This Row],[Growth]]/Engagement_Summary[[#This Row],[Total_Followers]]</f>
        <v>5.8952701962314107E-4</v>
      </c>
      <c r="I200">
        <v>7.57</v>
      </c>
      <c r="J200">
        <v>4007</v>
      </c>
      <c r="K200" t="str">
        <f>IF(AND(A200&gt;=Campaign!$B$2,A200&lt;=Campaign!$C$2),"CybertruckLaunch",IF(AND(A200&gt;=Campaign!$B$3,A200&lt;=Campaign!$C$3),"ModelYcampaign",IF(AND(A200&gt;=Campaign!$B$4,A200&lt;=Campaign!$C$4),"FSDUpdate",IF(AND(A200&gt;=Campaign!$B$5,A200&lt;=Campaign!$C$5),"SustainabilityDrive","No Campaign"))))</f>
        <v>No Campaign</v>
      </c>
    </row>
    <row r="201" spans="1:11" x14ac:dyDescent="0.35">
      <c r="A201" s="2">
        <v>45789</v>
      </c>
      <c r="B201" s="12">
        <f t="shared" si="6"/>
        <v>50</v>
      </c>
      <c r="C201" s="1" t="s">
        <v>32</v>
      </c>
      <c r="D201">
        <v>119</v>
      </c>
      <c r="E201">
        <v>456</v>
      </c>
      <c r="F201">
        <f>Engagement_Summary[[#This Row],[New_Followers]]-Engagement_Summary[[#This Row],[Unfollows]]</f>
        <v>-337</v>
      </c>
      <c r="G201">
        <v>82558</v>
      </c>
      <c r="H201" s="10">
        <f>Engagement_Summary[[#This Row],[Growth]]/Engagement_Summary[[#This Row],[Total_Followers]]</f>
        <v>-4.0819787301048958E-3</v>
      </c>
      <c r="I201">
        <v>6.81</v>
      </c>
      <c r="J201">
        <v>12174</v>
      </c>
      <c r="K201" t="str">
        <f>IF(AND(A201&gt;=Campaign!$B$2,A201&lt;=Campaign!$C$2),"CybertruckLaunch",IF(AND(A201&gt;=Campaign!$B$3,A201&lt;=Campaign!$C$3),"ModelYcampaign",IF(AND(A201&gt;=Campaign!$B$4,A201&lt;=Campaign!$C$4),"FSDUpdate",IF(AND(A201&gt;=Campaign!$B$5,A201&lt;=Campaign!$C$5),"SustainabilityDrive","No Campaign"))))</f>
        <v>No Campaign</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9486-6729-4EBB-968C-0605A996936D}">
  <dimension ref="A2:R68"/>
  <sheetViews>
    <sheetView topLeftCell="A51" workbookViewId="0">
      <selection activeCell="C58" sqref="C58:M58"/>
    </sheetView>
  </sheetViews>
  <sheetFormatPr defaultRowHeight="14.5" x14ac:dyDescent="0.35"/>
  <cols>
    <col min="2" max="2" width="12.36328125" bestFit="1" customWidth="1"/>
    <col min="3" max="3" width="11.1796875" bestFit="1" customWidth="1"/>
    <col min="4" max="4" width="12.6328125" bestFit="1" customWidth="1"/>
    <col min="5" max="5" width="16.26953125" bestFit="1" customWidth="1"/>
  </cols>
  <sheetData>
    <row r="2" spans="1:18" ht="33.5" x14ac:dyDescent="0.75">
      <c r="A2" s="104" t="s">
        <v>380</v>
      </c>
      <c r="B2" s="104"/>
      <c r="C2" s="104"/>
      <c r="D2" s="104"/>
      <c r="E2" s="104"/>
      <c r="F2" s="104"/>
      <c r="G2" s="104"/>
      <c r="H2" t="s">
        <v>402</v>
      </c>
    </row>
    <row r="4" spans="1:18" ht="15" thickBot="1" x14ac:dyDescent="0.4"/>
    <row r="5" spans="1:18" ht="24" thickBot="1" x14ac:dyDescent="0.6">
      <c r="C5" s="26" t="s">
        <v>381</v>
      </c>
      <c r="D5" s="31"/>
      <c r="E5" s="27"/>
      <c r="F5" s="27"/>
      <c r="G5" s="27"/>
      <c r="H5" s="27"/>
      <c r="I5" s="28"/>
      <c r="J5" s="26"/>
      <c r="K5" s="31"/>
      <c r="L5" s="27"/>
      <c r="M5" s="27"/>
      <c r="N5" s="27"/>
      <c r="O5" s="27"/>
      <c r="P5" s="28"/>
      <c r="Q5" s="27"/>
      <c r="R5" s="28"/>
    </row>
    <row r="7" spans="1:18" ht="15" thickBot="1" x14ac:dyDescent="0.4"/>
    <row r="8" spans="1:18" ht="15" thickBot="1" x14ac:dyDescent="0.4">
      <c r="B8" s="47" t="s">
        <v>388</v>
      </c>
      <c r="C8" s="38" t="s">
        <v>391</v>
      </c>
      <c r="D8" s="48"/>
    </row>
    <row r="9" spans="1:18" x14ac:dyDescent="0.35">
      <c r="B9" s="49" t="s">
        <v>29</v>
      </c>
      <c r="C9" s="37">
        <v>0.18531784517185629</v>
      </c>
      <c r="D9" s="42"/>
    </row>
    <row r="10" spans="1:18" x14ac:dyDescent="0.35">
      <c r="B10" s="49" t="s">
        <v>31</v>
      </c>
      <c r="C10" s="36">
        <v>0.13739368723551609</v>
      </c>
      <c r="D10" s="42"/>
    </row>
    <row r="11" spans="1:18" x14ac:dyDescent="0.35">
      <c r="B11" s="49" t="s">
        <v>32</v>
      </c>
      <c r="C11" s="36">
        <v>0.13298735096853673</v>
      </c>
      <c r="D11" s="42"/>
    </row>
    <row r="12" spans="1:18" ht="15" thickBot="1" x14ac:dyDescent="0.4">
      <c r="B12" s="50" t="s">
        <v>30</v>
      </c>
      <c r="C12" s="51">
        <v>0.12094203382654924</v>
      </c>
      <c r="D12" s="44"/>
    </row>
    <row r="14" spans="1:18" ht="15" thickBot="1" x14ac:dyDescent="0.4"/>
    <row r="15" spans="1:18" ht="24" thickBot="1" x14ac:dyDescent="0.6">
      <c r="C15" s="26" t="s">
        <v>392</v>
      </c>
      <c r="D15" s="31"/>
      <c r="E15" s="27"/>
      <c r="F15" s="27"/>
      <c r="G15" s="27"/>
      <c r="H15" s="27"/>
      <c r="I15" s="28"/>
    </row>
    <row r="18" spans="2:16" x14ac:dyDescent="0.35">
      <c r="B18" s="3" t="s">
        <v>33</v>
      </c>
      <c r="C18" s="4" t="s">
        <v>24</v>
      </c>
      <c r="D18" s="4" t="s">
        <v>34</v>
      </c>
      <c r="E18" s="4" t="s">
        <v>35</v>
      </c>
      <c r="F18" s="4" t="s">
        <v>36</v>
      </c>
      <c r="G18" s="4" t="s">
        <v>37</v>
      </c>
      <c r="H18" s="4" t="s">
        <v>38</v>
      </c>
      <c r="I18" s="4" t="s">
        <v>39</v>
      </c>
      <c r="J18" s="4" t="s">
        <v>40</v>
      </c>
      <c r="K18" s="4" t="s">
        <v>382</v>
      </c>
      <c r="L18" s="4" t="s">
        <v>383</v>
      </c>
      <c r="M18" s="4" t="s">
        <v>41</v>
      </c>
      <c r="N18" s="4" t="s">
        <v>42</v>
      </c>
      <c r="O18" s="4" t="s">
        <v>43</v>
      </c>
      <c r="P18" s="5" t="s">
        <v>0</v>
      </c>
    </row>
    <row r="19" spans="2:16" x14ac:dyDescent="0.35">
      <c r="B19" s="16" t="s">
        <v>138</v>
      </c>
      <c r="C19" s="17" t="s">
        <v>31</v>
      </c>
      <c r="D19" s="18">
        <v>45540</v>
      </c>
      <c r="E19" s="17" t="s">
        <v>82</v>
      </c>
      <c r="F19" s="17" t="s">
        <v>121</v>
      </c>
      <c r="G19" s="6">
        <v>4886</v>
      </c>
      <c r="H19" s="6">
        <v>983</v>
      </c>
      <c r="I19" s="6">
        <v>409</v>
      </c>
      <c r="J19" s="6">
        <v>43974</v>
      </c>
      <c r="K19" s="6">
        <v>6278</v>
      </c>
      <c r="L19" s="19">
        <v>0.14276618001546368</v>
      </c>
      <c r="M19" s="6">
        <v>43239</v>
      </c>
      <c r="N19" s="6">
        <v>65</v>
      </c>
      <c r="O19" s="17" t="s">
        <v>52</v>
      </c>
      <c r="P19" s="20" t="s">
        <v>7</v>
      </c>
    </row>
    <row r="20" spans="2:16" x14ac:dyDescent="0.35">
      <c r="B20" s="21" t="s">
        <v>185</v>
      </c>
      <c r="C20" s="22" t="s">
        <v>29</v>
      </c>
      <c r="D20" s="23">
        <v>45692</v>
      </c>
      <c r="E20" s="22" t="s">
        <v>67</v>
      </c>
      <c r="F20" s="22" t="s">
        <v>160</v>
      </c>
      <c r="G20" s="7">
        <v>4619</v>
      </c>
      <c r="H20" s="7">
        <v>821</v>
      </c>
      <c r="I20" s="7">
        <v>499</v>
      </c>
      <c r="J20" s="7">
        <v>69285</v>
      </c>
      <c r="K20" s="7">
        <v>5939</v>
      </c>
      <c r="L20" s="24">
        <v>8.5718409468138843E-2</v>
      </c>
      <c r="M20" s="7">
        <v>69141</v>
      </c>
      <c r="N20" s="7">
        <v>298</v>
      </c>
      <c r="O20" s="22" t="s">
        <v>52</v>
      </c>
      <c r="P20" s="25" t="s">
        <v>19</v>
      </c>
    </row>
    <row r="21" spans="2:16" x14ac:dyDescent="0.35">
      <c r="B21" s="16" t="s">
        <v>223</v>
      </c>
      <c r="C21" s="17" t="s">
        <v>32</v>
      </c>
      <c r="D21" s="18">
        <v>45593</v>
      </c>
      <c r="E21" s="17" t="s">
        <v>57</v>
      </c>
      <c r="F21" s="17" t="s">
        <v>127</v>
      </c>
      <c r="G21" s="6">
        <v>4929</v>
      </c>
      <c r="H21" s="6">
        <v>749</v>
      </c>
      <c r="I21" s="6">
        <v>452</v>
      </c>
      <c r="J21" s="6">
        <v>93651</v>
      </c>
      <c r="K21" s="6">
        <v>6130</v>
      </c>
      <c r="L21" s="19">
        <v>6.5455787978772245E-2</v>
      </c>
      <c r="M21" s="6">
        <v>92810</v>
      </c>
      <c r="N21" s="6">
        <v>66</v>
      </c>
      <c r="O21" s="17" t="s">
        <v>59</v>
      </c>
      <c r="P21" s="20" t="s">
        <v>19</v>
      </c>
    </row>
    <row r="22" spans="2:16" x14ac:dyDescent="0.35">
      <c r="B22" s="21" t="s">
        <v>240</v>
      </c>
      <c r="C22" s="22" t="s">
        <v>31</v>
      </c>
      <c r="D22" s="23">
        <v>45707</v>
      </c>
      <c r="E22" s="22" t="s">
        <v>50</v>
      </c>
      <c r="F22" s="22" t="s">
        <v>51</v>
      </c>
      <c r="G22" s="7">
        <v>4671</v>
      </c>
      <c r="H22" s="7">
        <v>876</v>
      </c>
      <c r="I22" s="7">
        <v>366</v>
      </c>
      <c r="J22" s="7">
        <v>51381</v>
      </c>
      <c r="K22" s="7">
        <v>5913</v>
      </c>
      <c r="L22" s="24">
        <v>0.11508145034156594</v>
      </c>
      <c r="M22" s="7">
        <v>50565</v>
      </c>
      <c r="N22" s="7">
        <v>245</v>
      </c>
      <c r="O22" s="22" t="s">
        <v>52</v>
      </c>
      <c r="P22" s="25" t="s">
        <v>19</v>
      </c>
    </row>
    <row r="23" spans="2:16" x14ac:dyDescent="0.35">
      <c r="B23" s="16" t="s">
        <v>243</v>
      </c>
      <c r="C23" s="17" t="s">
        <v>32</v>
      </c>
      <c r="D23" s="18">
        <v>45715</v>
      </c>
      <c r="E23" s="17" t="s">
        <v>50</v>
      </c>
      <c r="F23" s="17" t="s">
        <v>99</v>
      </c>
      <c r="G23" s="6">
        <v>4934</v>
      </c>
      <c r="H23" s="6">
        <v>971</v>
      </c>
      <c r="I23" s="6">
        <v>156</v>
      </c>
      <c r="J23" s="6">
        <v>39472</v>
      </c>
      <c r="K23" s="6">
        <v>6061</v>
      </c>
      <c r="L23" s="19">
        <v>0.15355188488042157</v>
      </c>
      <c r="M23" s="6">
        <v>39025</v>
      </c>
      <c r="N23" s="6">
        <v>169</v>
      </c>
      <c r="O23" s="17" t="s">
        <v>52</v>
      </c>
      <c r="P23" s="20" t="s">
        <v>19</v>
      </c>
    </row>
    <row r="24" spans="2:16" x14ac:dyDescent="0.35">
      <c r="B24" s="21" t="s">
        <v>243</v>
      </c>
      <c r="C24" s="22" t="s">
        <v>32</v>
      </c>
      <c r="D24" s="23">
        <v>45715</v>
      </c>
      <c r="E24" s="22" t="s">
        <v>50</v>
      </c>
      <c r="F24" s="22" t="s">
        <v>99</v>
      </c>
      <c r="G24" s="7">
        <v>4934</v>
      </c>
      <c r="H24" s="7">
        <v>971</v>
      </c>
      <c r="I24" s="7">
        <v>156</v>
      </c>
      <c r="J24" s="7">
        <v>39472</v>
      </c>
      <c r="K24" s="7">
        <v>6061</v>
      </c>
      <c r="L24" s="24">
        <v>0.15355188488042157</v>
      </c>
      <c r="M24" s="7">
        <v>39025</v>
      </c>
      <c r="N24" s="7">
        <v>169</v>
      </c>
      <c r="O24" s="22" t="s">
        <v>48</v>
      </c>
      <c r="P24" s="25" t="s">
        <v>19</v>
      </c>
    </row>
    <row r="25" spans="2:16" x14ac:dyDescent="0.35">
      <c r="B25" s="16" t="s">
        <v>294</v>
      </c>
      <c r="C25" s="17" t="s">
        <v>30</v>
      </c>
      <c r="D25" s="18">
        <v>45783</v>
      </c>
      <c r="E25" s="17" t="s">
        <v>67</v>
      </c>
      <c r="F25" s="17" t="s">
        <v>72</v>
      </c>
      <c r="G25" s="6">
        <v>4872</v>
      </c>
      <c r="H25" s="6">
        <v>925</v>
      </c>
      <c r="I25" s="6">
        <v>176</v>
      </c>
      <c r="J25" s="6">
        <v>82824</v>
      </c>
      <c r="K25" s="6">
        <v>5973</v>
      </c>
      <c r="L25" s="19">
        <v>7.2116777745580993E-2</v>
      </c>
      <c r="M25" s="6">
        <v>82543</v>
      </c>
      <c r="N25" s="6">
        <v>89</v>
      </c>
      <c r="O25" s="17" t="s">
        <v>59</v>
      </c>
      <c r="P25" s="20" t="s">
        <v>11</v>
      </c>
    </row>
    <row r="26" spans="2:16" x14ac:dyDescent="0.35">
      <c r="B26" s="21" t="s">
        <v>307</v>
      </c>
      <c r="C26" s="22" t="s">
        <v>29</v>
      </c>
      <c r="D26" s="23">
        <v>45474</v>
      </c>
      <c r="E26" s="22" t="s">
        <v>57</v>
      </c>
      <c r="F26" s="22" t="s">
        <v>58</v>
      </c>
      <c r="G26" s="7">
        <v>4808</v>
      </c>
      <c r="H26" s="7">
        <v>772</v>
      </c>
      <c r="I26" s="7">
        <v>320</v>
      </c>
      <c r="J26" s="7">
        <v>72120</v>
      </c>
      <c r="K26" s="7">
        <v>5900</v>
      </c>
      <c r="L26" s="24">
        <v>8.1808097615085965E-2</v>
      </c>
      <c r="M26" s="7">
        <v>71696</v>
      </c>
      <c r="N26" s="7">
        <v>195</v>
      </c>
      <c r="O26" s="22" t="s">
        <v>59</v>
      </c>
      <c r="P26" s="25" t="s">
        <v>7</v>
      </c>
    </row>
    <row r="27" spans="2:16" x14ac:dyDescent="0.35">
      <c r="B27" s="16" t="s">
        <v>323</v>
      </c>
      <c r="C27" s="17" t="s">
        <v>32</v>
      </c>
      <c r="D27" s="18">
        <v>45590</v>
      </c>
      <c r="E27" s="17" t="s">
        <v>82</v>
      </c>
      <c r="F27" s="17" t="s">
        <v>162</v>
      </c>
      <c r="G27" s="6">
        <v>4661</v>
      </c>
      <c r="H27" s="6">
        <v>935</v>
      </c>
      <c r="I27" s="6">
        <v>433</v>
      </c>
      <c r="J27" s="6">
        <v>23305</v>
      </c>
      <c r="K27" s="6">
        <v>6029</v>
      </c>
      <c r="L27" s="19">
        <v>0.25869984981763572</v>
      </c>
      <c r="M27" s="6">
        <v>22583</v>
      </c>
      <c r="N27" s="6">
        <v>63</v>
      </c>
      <c r="O27" s="17" t="s">
        <v>47</v>
      </c>
      <c r="P27" s="20" t="s">
        <v>15</v>
      </c>
    </row>
    <row r="28" spans="2:16" x14ac:dyDescent="0.35">
      <c r="B28" s="21" t="s">
        <v>340</v>
      </c>
      <c r="C28" s="22" t="s">
        <v>29</v>
      </c>
      <c r="D28" s="23">
        <v>45592</v>
      </c>
      <c r="E28" s="22" t="s">
        <v>67</v>
      </c>
      <c r="F28" s="22" t="s">
        <v>160</v>
      </c>
      <c r="G28" s="7">
        <v>4853</v>
      </c>
      <c r="H28" s="7">
        <v>837</v>
      </c>
      <c r="I28" s="7">
        <v>340</v>
      </c>
      <c r="J28" s="7">
        <v>72795</v>
      </c>
      <c r="K28" s="7">
        <v>6030</v>
      </c>
      <c r="L28" s="24">
        <v>8.2835359571399134E-2</v>
      </c>
      <c r="M28" s="7">
        <v>72237</v>
      </c>
      <c r="N28" s="7">
        <v>170</v>
      </c>
      <c r="O28" s="22" t="s">
        <v>59</v>
      </c>
      <c r="P28" s="25" t="s">
        <v>7</v>
      </c>
    </row>
    <row r="30" spans="2:16" ht="15" thickBot="1" x14ac:dyDescent="0.4"/>
    <row r="31" spans="2:16" ht="24" thickBot="1" x14ac:dyDescent="0.6">
      <c r="C31" s="26" t="s">
        <v>393</v>
      </c>
      <c r="D31" s="31"/>
      <c r="E31" s="27"/>
      <c r="F31" s="27"/>
      <c r="G31" s="27"/>
      <c r="H31" s="27"/>
      <c r="I31" s="27"/>
      <c r="J31" s="27"/>
      <c r="K31" s="27"/>
      <c r="L31" s="27"/>
      <c r="M31" s="28"/>
      <c r="N31" s="28"/>
    </row>
    <row r="32" spans="2:16" ht="15" thickBot="1" x14ac:dyDescent="0.4"/>
    <row r="33" spans="2:6" ht="15" thickBot="1" x14ac:dyDescent="0.4">
      <c r="B33" s="62" t="s">
        <v>388</v>
      </c>
      <c r="C33" s="56" t="s">
        <v>394</v>
      </c>
      <c r="D33" s="27" t="s">
        <v>395</v>
      </c>
      <c r="E33" s="28" t="s">
        <v>396</v>
      </c>
      <c r="F33" s="33"/>
    </row>
    <row r="34" spans="2:6" x14ac:dyDescent="0.35">
      <c r="B34" s="63" t="s">
        <v>30</v>
      </c>
      <c r="C34" s="58">
        <v>44476</v>
      </c>
      <c r="D34" s="95">
        <v>7400</v>
      </c>
      <c r="E34" s="96">
        <v>4589</v>
      </c>
      <c r="F34" s="42"/>
    </row>
    <row r="35" spans="2:6" x14ac:dyDescent="0.35">
      <c r="B35" s="64" t="s">
        <v>29</v>
      </c>
      <c r="C35" s="60">
        <v>45776</v>
      </c>
      <c r="D35" s="41">
        <v>7903</v>
      </c>
      <c r="E35" s="73">
        <v>4382</v>
      </c>
      <c r="F35" s="42"/>
    </row>
    <row r="36" spans="2:6" x14ac:dyDescent="0.35">
      <c r="B36" s="64" t="s">
        <v>31</v>
      </c>
      <c r="C36" s="60">
        <v>63769</v>
      </c>
      <c r="D36" s="41">
        <v>7949</v>
      </c>
      <c r="E36" s="73">
        <v>4622</v>
      </c>
      <c r="F36" s="42"/>
    </row>
    <row r="37" spans="2:6" ht="15" thickBot="1" x14ac:dyDescent="0.4">
      <c r="B37" s="65" t="s">
        <v>32</v>
      </c>
      <c r="C37" s="60">
        <v>25730</v>
      </c>
      <c r="D37" s="41">
        <v>6944</v>
      </c>
      <c r="E37" s="73">
        <v>2465</v>
      </c>
      <c r="F37" s="42"/>
    </row>
    <row r="38" spans="2:6" ht="15" thickBot="1" x14ac:dyDescent="0.4">
      <c r="B38" s="66" t="s">
        <v>389</v>
      </c>
      <c r="C38" s="61">
        <v>179751</v>
      </c>
      <c r="D38" s="43">
        <v>30196</v>
      </c>
      <c r="E38" s="74">
        <v>16058</v>
      </c>
      <c r="F38" s="44"/>
    </row>
    <row r="44" spans="2:6" ht="15" thickBot="1" x14ac:dyDescent="0.4"/>
    <row r="45" spans="2:6" ht="24" thickBot="1" x14ac:dyDescent="0.6">
      <c r="C45" s="26" t="s">
        <v>397</v>
      </c>
      <c r="D45" s="27"/>
      <c r="E45" s="28"/>
      <c r="F45" s="30"/>
    </row>
    <row r="47" spans="2:6" ht="21.5" thickBot="1" x14ac:dyDescent="0.55000000000000004">
      <c r="C47" s="8"/>
      <c r="D47" s="8"/>
    </row>
    <row r="48" spans="2:6" x14ac:dyDescent="0.35">
      <c r="C48" s="32" t="s">
        <v>388</v>
      </c>
      <c r="D48" s="33" t="s">
        <v>399</v>
      </c>
    </row>
    <row r="49" spans="3:13" x14ac:dyDescent="0.35">
      <c r="C49" s="34" t="s">
        <v>48</v>
      </c>
      <c r="D49" s="45">
        <v>161.19999999999999</v>
      </c>
    </row>
    <row r="50" spans="3:13" x14ac:dyDescent="0.35">
      <c r="C50" s="34" t="s">
        <v>53</v>
      </c>
      <c r="D50" s="45">
        <v>114.85714285714286</v>
      </c>
    </row>
    <row r="51" spans="3:13" x14ac:dyDescent="0.35">
      <c r="C51" s="34" t="s">
        <v>59</v>
      </c>
      <c r="D51" s="45">
        <v>151.52941176470588</v>
      </c>
    </row>
    <row r="52" spans="3:13" x14ac:dyDescent="0.35">
      <c r="C52" s="34" t="s">
        <v>47</v>
      </c>
      <c r="D52" s="45">
        <v>144.03883495145632</v>
      </c>
    </row>
    <row r="53" spans="3:13" x14ac:dyDescent="0.35">
      <c r="C53" s="34" t="s">
        <v>18</v>
      </c>
      <c r="D53" s="45">
        <v>111.8</v>
      </c>
    </row>
    <row r="54" spans="3:13" x14ac:dyDescent="0.35">
      <c r="C54" s="34" t="s">
        <v>52</v>
      </c>
      <c r="D54" s="45">
        <v>158.65420560747663</v>
      </c>
    </row>
    <row r="55" spans="3:13" ht="15" thickBot="1" x14ac:dyDescent="0.4">
      <c r="C55" s="35" t="s">
        <v>389</v>
      </c>
      <c r="D55" s="46">
        <v>150.58702064896755</v>
      </c>
    </row>
    <row r="57" spans="3:13" ht="15" thickBot="1" x14ac:dyDescent="0.4"/>
    <row r="58" spans="3:13" ht="24" thickBot="1" x14ac:dyDescent="0.6">
      <c r="C58" s="26" t="s">
        <v>400</v>
      </c>
      <c r="D58" s="27"/>
      <c r="E58" s="27"/>
      <c r="F58" s="27"/>
      <c r="G58" s="27"/>
      <c r="H58" s="27"/>
      <c r="I58" s="27"/>
      <c r="J58" s="27"/>
      <c r="K58" s="28"/>
      <c r="L58" s="26"/>
      <c r="M58" s="29"/>
    </row>
    <row r="60" spans="3:13" ht="15" thickBot="1" x14ac:dyDescent="0.4"/>
    <row r="61" spans="3:13" x14ac:dyDescent="0.35">
      <c r="C61" s="32" t="s">
        <v>388</v>
      </c>
      <c r="D61" s="40" t="s">
        <v>390</v>
      </c>
      <c r="E61" s="33"/>
    </row>
    <row r="62" spans="3:13" x14ac:dyDescent="0.35">
      <c r="C62" s="34" t="s">
        <v>59</v>
      </c>
      <c r="D62" s="52">
        <v>15.693855404282546</v>
      </c>
      <c r="E62" s="42"/>
    </row>
    <row r="63" spans="3:13" x14ac:dyDescent="0.35">
      <c r="C63" s="34" t="s">
        <v>52</v>
      </c>
      <c r="D63" s="52">
        <v>15.53139363424564</v>
      </c>
      <c r="E63" s="42"/>
    </row>
    <row r="64" spans="3:13" x14ac:dyDescent="0.35">
      <c r="C64" s="34" t="s">
        <v>47</v>
      </c>
      <c r="D64" s="52">
        <v>14.546944493759888</v>
      </c>
      <c r="E64" s="42"/>
    </row>
    <row r="65" spans="3:5" x14ac:dyDescent="0.35">
      <c r="C65" s="34" t="s">
        <v>48</v>
      </c>
      <c r="D65" s="52">
        <v>1.7454110667556975</v>
      </c>
      <c r="E65" s="42"/>
    </row>
    <row r="66" spans="3:5" x14ac:dyDescent="0.35">
      <c r="C66" s="34" t="s">
        <v>53</v>
      </c>
      <c r="D66" s="52">
        <v>0.88127162800109904</v>
      </c>
      <c r="E66" s="42"/>
    </row>
    <row r="67" spans="3:5" x14ac:dyDescent="0.35">
      <c r="C67" s="34" t="s">
        <v>18</v>
      </c>
      <c r="D67" s="52">
        <v>0.57408768353846351</v>
      </c>
      <c r="E67" s="42"/>
    </row>
    <row r="68" spans="3:5" ht="15" thickBot="1" x14ac:dyDescent="0.4">
      <c r="C68" s="35" t="s">
        <v>389</v>
      </c>
      <c r="D68" s="53">
        <v>48.972963910583339</v>
      </c>
      <c r="E68" s="44"/>
    </row>
  </sheetData>
  <mergeCells count="1">
    <mergeCell ref="A2:G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8106-7C15-4152-8EF5-5B17613DD975}">
  <dimension ref="B1:S49"/>
  <sheetViews>
    <sheetView topLeftCell="A45" workbookViewId="0">
      <selection activeCell="I52" sqref="I52"/>
    </sheetView>
  </sheetViews>
  <sheetFormatPr defaultRowHeight="14.5" x14ac:dyDescent="0.35"/>
  <cols>
    <col min="2" max="2" width="12.36328125" bestFit="1" customWidth="1"/>
    <col min="3" max="3" width="13.54296875" bestFit="1" customWidth="1"/>
    <col min="4" max="4" width="17.90625" bestFit="1" customWidth="1"/>
  </cols>
  <sheetData>
    <row r="1" spans="2:19" ht="15" thickBot="1" x14ac:dyDescent="0.4"/>
    <row r="2" spans="2:19" ht="24" thickBot="1" x14ac:dyDescent="0.6">
      <c r="B2" s="54" t="s">
        <v>437</v>
      </c>
      <c r="C2" s="55"/>
      <c r="D2" s="27"/>
    </row>
    <row r="4" spans="2:19" ht="15" thickBot="1" x14ac:dyDescent="0.4"/>
    <row r="5" spans="2:19" ht="24" thickBot="1" x14ac:dyDescent="0.6">
      <c r="B5" s="54" t="s">
        <v>401</v>
      </c>
      <c r="C5" s="55"/>
      <c r="D5" s="27"/>
      <c r="E5" s="27"/>
      <c r="F5" s="27"/>
      <c r="G5" s="27"/>
      <c r="H5" s="27"/>
      <c r="I5" s="27"/>
      <c r="J5" s="27"/>
      <c r="K5" s="27"/>
      <c r="L5" s="27"/>
      <c r="M5" s="27"/>
      <c r="N5" s="27"/>
      <c r="O5" s="27"/>
      <c r="P5" s="30"/>
      <c r="Q5" s="27"/>
      <c r="R5" s="27"/>
      <c r="S5" s="28"/>
    </row>
    <row r="7" spans="2:19" ht="15" thickBot="1" x14ac:dyDescent="0.4"/>
    <row r="8" spans="2:19" x14ac:dyDescent="0.35">
      <c r="B8" s="32" t="s">
        <v>388</v>
      </c>
      <c r="C8" s="40" t="s">
        <v>403</v>
      </c>
      <c r="D8" s="33"/>
    </row>
    <row r="9" spans="2:19" x14ac:dyDescent="0.35">
      <c r="B9" s="34" t="s">
        <v>30</v>
      </c>
      <c r="C9" s="41">
        <v>334541</v>
      </c>
      <c r="D9" s="42"/>
    </row>
    <row r="10" spans="2:19" x14ac:dyDescent="0.35">
      <c r="B10" s="34" t="s">
        <v>29</v>
      </c>
      <c r="C10" s="41">
        <v>289234</v>
      </c>
      <c r="D10" s="42"/>
    </row>
    <row r="11" spans="2:19" x14ac:dyDescent="0.35">
      <c r="B11" s="34" t="s">
        <v>31</v>
      </c>
      <c r="C11" s="41">
        <v>300942</v>
      </c>
      <c r="D11" s="42"/>
    </row>
    <row r="12" spans="2:19" x14ac:dyDescent="0.35">
      <c r="B12" s="34" t="s">
        <v>32</v>
      </c>
      <c r="C12" s="41">
        <v>243633</v>
      </c>
      <c r="D12" s="42"/>
    </row>
    <row r="13" spans="2:19" ht="15" thickBot="1" x14ac:dyDescent="0.4">
      <c r="B13" s="35" t="s">
        <v>389</v>
      </c>
      <c r="C13" s="43">
        <v>1168350</v>
      </c>
      <c r="D13" s="44"/>
    </row>
    <row r="15" spans="2:19" ht="15" thickBot="1" x14ac:dyDescent="0.4"/>
    <row r="16" spans="2:19" ht="24" thickBot="1" x14ac:dyDescent="0.6">
      <c r="B16" s="54" t="s">
        <v>404</v>
      </c>
      <c r="C16" s="57"/>
      <c r="D16" s="27"/>
      <c r="E16" s="30"/>
      <c r="F16" s="30"/>
      <c r="G16" s="27"/>
      <c r="H16" s="27"/>
      <c r="I16" s="28"/>
    </row>
    <row r="18" spans="2:13" ht="15" thickBot="1" x14ac:dyDescent="0.4"/>
    <row r="19" spans="2:13" ht="15" thickBot="1" x14ac:dyDescent="0.4">
      <c r="B19" s="62" t="s">
        <v>388</v>
      </c>
      <c r="C19" s="56" t="s">
        <v>405</v>
      </c>
      <c r="D19" s="28" t="s">
        <v>406</v>
      </c>
      <c r="E19" s="33"/>
    </row>
    <row r="20" spans="2:13" x14ac:dyDescent="0.35">
      <c r="B20" s="63" t="s">
        <v>31</v>
      </c>
      <c r="C20" s="58">
        <v>41177</v>
      </c>
      <c r="D20" s="59">
        <v>0.46400128383106698</v>
      </c>
      <c r="E20" s="42"/>
    </row>
    <row r="21" spans="2:13" x14ac:dyDescent="0.35">
      <c r="B21" s="64" t="s">
        <v>32</v>
      </c>
      <c r="C21" s="60">
        <v>35367</v>
      </c>
      <c r="D21" s="45">
        <v>0.45105333156680044</v>
      </c>
      <c r="E21" s="42"/>
    </row>
    <row r="22" spans="2:13" x14ac:dyDescent="0.35">
      <c r="B22" s="64" t="s">
        <v>29</v>
      </c>
      <c r="C22" s="60">
        <v>48004</v>
      </c>
      <c r="D22" s="45">
        <v>0.28812660632475912</v>
      </c>
      <c r="E22" s="42"/>
    </row>
    <row r="23" spans="2:13" ht="15" thickBot="1" x14ac:dyDescent="0.4">
      <c r="B23" s="65" t="s">
        <v>30</v>
      </c>
      <c r="C23" s="60">
        <v>35557</v>
      </c>
      <c r="D23" s="45">
        <v>0.27324953416486325</v>
      </c>
      <c r="E23" s="42"/>
    </row>
    <row r="24" spans="2:13" ht="15" thickBot="1" x14ac:dyDescent="0.4">
      <c r="B24" s="66" t="s">
        <v>389</v>
      </c>
      <c r="C24" s="61">
        <v>160105</v>
      </c>
      <c r="D24" s="46">
        <v>1.4764307558874898</v>
      </c>
      <c r="E24" s="44"/>
    </row>
    <row r="26" spans="2:13" ht="15" thickBot="1" x14ac:dyDescent="0.4"/>
    <row r="27" spans="2:13" ht="24" thickBot="1" x14ac:dyDescent="0.6">
      <c r="B27" s="54" t="s">
        <v>407</v>
      </c>
      <c r="C27" s="57"/>
      <c r="D27" s="27"/>
      <c r="E27" s="30"/>
      <c r="F27" s="30"/>
      <c r="G27" s="28"/>
    </row>
    <row r="30" spans="2:13" x14ac:dyDescent="0.35">
      <c r="B30" s="13" t="s">
        <v>388</v>
      </c>
      <c r="C30" t="s">
        <v>403</v>
      </c>
      <c r="D30" s="13" t="s">
        <v>388</v>
      </c>
      <c r="E30" t="s">
        <v>408</v>
      </c>
    </row>
    <row r="31" spans="2:13" x14ac:dyDescent="0.35">
      <c r="B31" s="14" t="s">
        <v>30</v>
      </c>
      <c r="C31" s="1">
        <v>334541</v>
      </c>
      <c r="D31" s="14" t="s">
        <v>30</v>
      </c>
      <c r="E31" s="1">
        <v>1379539</v>
      </c>
      <c r="J31" s="14"/>
      <c r="K31" s="1"/>
      <c r="L31" s="14"/>
      <c r="M31" s="1"/>
    </row>
    <row r="32" spans="2:13" x14ac:dyDescent="0.35">
      <c r="B32" s="14" t="s">
        <v>29</v>
      </c>
      <c r="C32" s="1">
        <v>289234</v>
      </c>
      <c r="D32" s="14" t="s">
        <v>29</v>
      </c>
      <c r="E32" s="1">
        <v>1164373</v>
      </c>
      <c r="J32" s="14"/>
      <c r="K32" s="1"/>
      <c r="L32" s="14"/>
      <c r="M32" s="1"/>
    </row>
    <row r="33" spans="2:19" x14ac:dyDescent="0.35">
      <c r="B33" s="14" t="s">
        <v>31</v>
      </c>
      <c r="C33" s="1">
        <v>300942</v>
      </c>
      <c r="D33" s="14" t="s">
        <v>31</v>
      </c>
      <c r="E33" s="1">
        <v>1060357</v>
      </c>
      <c r="J33" s="14"/>
      <c r="K33" s="1"/>
      <c r="L33" s="14"/>
      <c r="M33" s="1"/>
    </row>
    <row r="34" spans="2:19" x14ac:dyDescent="0.35">
      <c r="B34" s="14" t="s">
        <v>32</v>
      </c>
      <c r="C34" s="1">
        <v>243633</v>
      </c>
      <c r="D34" s="14" t="s">
        <v>32</v>
      </c>
      <c r="E34" s="1">
        <v>1228647</v>
      </c>
    </row>
    <row r="35" spans="2:19" x14ac:dyDescent="0.35">
      <c r="B35" s="14" t="s">
        <v>389</v>
      </c>
      <c r="C35" s="1">
        <v>1168350</v>
      </c>
      <c r="D35" s="14" t="s">
        <v>389</v>
      </c>
      <c r="E35" s="1">
        <v>4832916</v>
      </c>
    </row>
    <row r="38" spans="2:19" x14ac:dyDescent="0.35">
      <c r="C38" s="15" t="s">
        <v>388</v>
      </c>
      <c r="D38" s="15" t="s">
        <v>403</v>
      </c>
      <c r="E38" s="15" t="s">
        <v>408</v>
      </c>
      <c r="F38" s="15"/>
    </row>
    <row r="39" spans="2:19" x14ac:dyDescent="0.35">
      <c r="C39" s="14" t="s">
        <v>30</v>
      </c>
      <c r="D39" s="1">
        <v>334541</v>
      </c>
      <c r="E39" s="14">
        <v>1379539</v>
      </c>
      <c r="F39" s="1"/>
    </row>
    <row r="40" spans="2:19" x14ac:dyDescent="0.35">
      <c r="C40" s="14" t="s">
        <v>29</v>
      </c>
      <c r="D40" s="1">
        <v>289234</v>
      </c>
      <c r="E40" s="14">
        <v>1164373</v>
      </c>
      <c r="F40" s="1"/>
    </row>
    <row r="41" spans="2:19" x14ac:dyDescent="0.35">
      <c r="C41" s="14" t="s">
        <v>31</v>
      </c>
      <c r="D41" s="1">
        <v>300942</v>
      </c>
      <c r="E41" s="14">
        <v>1060357</v>
      </c>
      <c r="F41" s="1"/>
    </row>
    <row r="42" spans="2:19" x14ac:dyDescent="0.35">
      <c r="C42" s="14" t="s">
        <v>32</v>
      </c>
      <c r="D42" s="1">
        <v>243633</v>
      </c>
      <c r="E42" s="14">
        <v>1228647</v>
      </c>
      <c r="F42" s="1"/>
    </row>
    <row r="43" spans="2:19" x14ac:dyDescent="0.35">
      <c r="C43" s="67" t="s">
        <v>389</v>
      </c>
      <c r="D43" s="68">
        <v>1168350</v>
      </c>
      <c r="E43" s="67">
        <v>4832916</v>
      </c>
      <c r="F43" s="68"/>
    </row>
    <row r="45" spans="2:19" ht="15" thickBot="1" x14ac:dyDescent="0.4"/>
    <row r="46" spans="2:19" ht="24" thickBot="1" x14ac:dyDescent="0.6">
      <c r="B46" s="54" t="s">
        <v>409</v>
      </c>
      <c r="C46" s="57"/>
      <c r="D46" s="27"/>
      <c r="E46" s="30"/>
      <c r="F46" s="30"/>
      <c r="G46" s="28"/>
      <c r="H46" s="54"/>
      <c r="I46" s="57"/>
      <c r="J46" s="27"/>
      <c r="K46" s="30"/>
      <c r="L46" s="30"/>
      <c r="M46" s="27"/>
      <c r="N46" s="27"/>
      <c r="O46" s="27"/>
      <c r="P46" s="27"/>
      <c r="Q46" s="27"/>
      <c r="R46" s="27"/>
      <c r="S46" s="28"/>
    </row>
    <row r="49" spans="2:2" x14ac:dyDescent="0.35">
      <c r="B49" t="s">
        <v>447</v>
      </c>
    </row>
  </sheetData>
  <conditionalFormatting pivot="1" sqref="C9:C12">
    <cfRule type="dataBar" priority="2">
      <dataBar>
        <cfvo type="min"/>
        <cfvo type="max"/>
        <color rgb="FF008AEF"/>
      </dataBar>
      <extLst>
        <ext xmlns:x14="http://schemas.microsoft.com/office/spreadsheetml/2009/9/main" uri="{B025F937-C7B1-47D3-B67F-A62EFF666E3E}">
          <x14:id>{1A773817-F45B-45D0-8F7B-C66A41F83524}</x14:id>
        </ext>
      </extLst>
    </cfRule>
  </conditionalFormatting>
  <conditionalFormatting pivot="1" sqref="D20:D23">
    <cfRule type="colorScale" priority="1">
      <colorScale>
        <cfvo type="min"/>
        <cfvo type="max"/>
        <color rgb="FFFFEF9C"/>
        <color rgb="FF63BE7B"/>
      </colorScale>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1A773817-F45B-45D0-8F7B-C66A41F83524}">
            <x14:dataBar minLength="0" maxLength="100" border="1" negativeBarBorderColorSameAsPositive="0">
              <x14:cfvo type="autoMin"/>
              <x14:cfvo type="autoMax"/>
              <x14:borderColor rgb="FF008AEF"/>
              <x14:negativeFillColor rgb="FFFF0000"/>
              <x14:negativeBorderColor rgb="FFFF0000"/>
              <x14:axisColor rgb="FF000000"/>
            </x14:dataBar>
          </x14:cfRule>
          <xm:sqref>C9:C12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AE0ED-BDEA-4DB3-9FF4-967BA3A4B374}">
  <dimension ref="B1:P52"/>
  <sheetViews>
    <sheetView topLeftCell="A47" workbookViewId="0">
      <selection activeCell="C56" sqref="C56"/>
    </sheetView>
  </sheetViews>
  <sheetFormatPr defaultRowHeight="14.5" x14ac:dyDescent="0.35"/>
  <cols>
    <col min="2" max="2" width="12.36328125" bestFit="1" customWidth="1"/>
    <col min="3" max="3" width="20.7265625" bestFit="1" customWidth="1"/>
    <col min="4" max="4" width="25.1796875" bestFit="1" customWidth="1"/>
  </cols>
  <sheetData>
    <row r="1" spans="2:10" ht="15" thickBot="1" x14ac:dyDescent="0.4"/>
    <row r="2" spans="2:10" ht="24" thickBot="1" x14ac:dyDescent="0.6">
      <c r="B2" s="69" t="s">
        <v>411</v>
      </c>
      <c r="C2" s="70"/>
      <c r="D2" s="27"/>
      <c r="E2" s="30"/>
    </row>
    <row r="3" spans="2:10" ht="15" thickBot="1" x14ac:dyDescent="0.4"/>
    <row r="4" spans="2:10" ht="24" thickBot="1" x14ac:dyDescent="0.6">
      <c r="C4" s="69" t="s">
        <v>410</v>
      </c>
      <c r="D4" s="70"/>
      <c r="E4" s="27"/>
      <c r="F4" s="27"/>
      <c r="G4" s="28"/>
      <c r="H4" s="27"/>
      <c r="I4" s="27"/>
      <c r="J4" s="28"/>
    </row>
    <row r="6" spans="2:10" ht="15" thickBot="1" x14ac:dyDescent="0.4"/>
    <row r="7" spans="2:10" ht="15" thickBot="1" x14ac:dyDescent="0.4">
      <c r="B7" s="62" t="s">
        <v>43</v>
      </c>
      <c r="C7" s="30" t="s">
        <v>412</v>
      </c>
    </row>
    <row r="8" spans="2:10" x14ac:dyDescent="0.35">
      <c r="B8" s="63" t="s">
        <v>52</v>
      </c>
      <c r="C8" s="75">
        <v>107</v>
      </c>
    </row>
    <row r="9" spans="2:10" x14ac:dyDescent="0.35">
      <c r="B9" s="64" t="s">
        <v>47</v>
      </c>
      <c r="C9" s="76">
        <v>103</v>
      </c>
    </row>
    <row r="10" spans="2:10" x14ac:dyDescent="0.35">
      <c r="B10" s="64" t="s">
        <v>59</v>
      </c>
      <c r="C10" s="76">
        <v>102</v>
      </c>
    </row>
    <row r="11" spans="2:10" x14ac:dyDescent="0.35">
      <c r="B11" s="64" t="s">
        <v>48</v>
      </c>
      <c r="C11" s="76">
        <v>15</v>
      </c>
    </row>
    <row r="12" spans="2:10" x14ac:dyDescent="0.35">
      <c r="B12" s="64" t="s">
        <v>53</v>
      </c>
      <c r="C12" s="76">
        <v>7</v>
      </c>
    </row>
    <row r="13" spans="2:10" ht="15" thickBot="1" x14ac:dyDescent="0.4">
      <c r="B13" s="65" t="s">
        <v>18</v>
      </c>
      <c r="C13" s="77">
        <v>5</v>
      </c>
    </row>
    <row r="15" spans="2:10" ht="15" thickBot="1" x14ac:dyDescent="0.4"/>
    <row r="16" spans="2:10" ht="24" thickBot="1" x14ac:dyDescent="0.6">
      <c r="B16" s="69" t="s">
        <v>413</v>
      </c>
      <c r="C16" s="70"/>
      <c r="D16" s="27"/>
      <c r="E16" s="27"/>
      <c r="F16" s="27"/>
      <c r="G16" s="27"/>
      <c r="H16" s="27"/>
      <c r="I16" s="28"/>
    </row>
    <row r="17" spans="2:16" ht="15" thickBot="1" x14ac:dyDescent="0.4"/>
    <row r="18" spans="2:16" x14ac:dyDescent="0.35">
      <c r="B18" s="32" t="s">
        <v>43</v>
      </c>
      <c r="C18" s="39" t="s">
        <v>403</v>
      </c>
      <c r="D18" s="40" t="s">
        <v>390</v>
      </c>
      <c r="E18" s="40"/>
      <c r="F18" s="33"/>
    </row>
    <row r="19" spans="2:16" x14ac:dyDescent="0.35">
      <c r="B19" s="34" t="s">
        <v>59</v>
      </c>
      <c r="C19" s="41">
        <v>360541</v>
      </c>
      <c r="D19" s="52">
        <v>15.693855404282546</v>
      </c>
      <c r="E19" s="71"/>
      <c r="F19" s="42"/>
    </row>
    <row r="20" spans="2:16" x14ac:dyDescent="0.35">
      <c r="B20" s="34" t="s">
        <v>52</v>
      </c>
      <c r="C20" s="41">
        <v>365652</v>
      </c>
      <c r="D20" s="52">
        <v>15.53139363424564</v>
      </c>
      <c r="E20" s="71"/>
      <c r="F20" s="42"/>
    </row>
    <row r="21" spans="2:16" x14ac:dyDescent="0.35">
      <c r="B21" s="34" t="s">
        <v>47</v>
      </c>
      <c r="C21" s="41">
        <v>350803</v>
      </c>
      <c r="D21" s="52">
        <v>14.546944493759888</v>
      </c>
      <c r="E21" s="71"/>
      <c r="F21" s="42"/>
    </row>
    <row r="22" spans="2:16" x14ac:dyDescent="0.35">
      <c r="B22" s="34" t="s">
        <v>48</v>
      </c>
      <c r="C22" s="41">
        <v>43514</v>
      </c>
      <c r="D22" s="52">
        <v>1.7454110667556975</v>
      </c>
      <c r="E22" s="71"/>
      <c r="F22" s="42"/>
    </row>
    <row r="23" spans="2:16" x14ac:dyDescent="0.35">
      <c r="B23" s="34" t="s">
        <v>53</v>
      </c>
      <c r="C23" s="41">
        <v>29003</v>
      </c>
      <c r="D23" s="52">
        <v>0.88127162800109904</v>
      </c>
      <c r="E23" s="71"/>
      <c r="F23" s="42"/>
    </row>
    <row r="24" spans="2:16" x14ac:dyDescent="0.35">
      <c r="B24" s="34" t="s">
        <v>18</v>
      </c>
      <c r="C24" s="41">
        <v>18837</v>
      </c>
      <c r="D24" s="52">
        <v>0.57408768353846351</v>
      </c>
      <c r="E24" s="71"/>
      <c r="F24" s="42"/>
    </row>
    <row r="25" spans="2:16" ht="15" thickBot="1" x14ac:dyDescent="0.4">
      <c r="B25" s="35" t="s">
        <v>389</v>
      </c>
      <c r="C25" s="43">
        <v>1168350</v>
      </c>
      <c r="D25" s="53">
        <v>48.972963910583339</v>
      </c>
      <c r="E25" s="72"/>
      <c r="F25" s="44"/>
    </row>
    <row r="27" spans="2:16" ht="15" thickBot="1" x14ac:dyDescent="0.4"/>
    <row r="28" spans="2:16" ht="19" thickBot="1" x14ac:dyDescent="0.5">
      <c r="B28" s="78" t="s">
        <v>414</v>
      </c>
      <c r="C28" s="79"/>
      <c r="D28" s="80"/>
      <c r="E28" s="80"/>
      <c r="F28" s="78"/>
      <c r="G28" s="79"/>
      <c r="H28" s="80"/>
      <c r="I28" s="80"/>
      <c r="J28" s="78"/>
      <c r="K28" s="81"/>
      <c r="L28" s="80"/>
      <c r="M28" s="27"/>
      <c r="N28" s="27"/>
      <c r="O28" s="27"/>
      <c r="P28" s="28"/>
    </row>
    <row r="30" spans="2:16" ht="15" thickBot="1" x14ac:dyDescent="0.4"/>
    <row r="31" spans="2:16" ht="15" thickBot="1" x14ac:dyDescent="0.4">
      <c r="B31" s="62" t="s">
        <v>388</v>
      </c>
      <c r="C31" s="56" t="s">
        <v>415</v>
      </c>
      <c r="D31" s="28" t="s">
        <v>391</v>
      </c>
    </row>
    <row r="32" spans="2:16" x14ac:dyDescent="0.35">
      <c r="B32" s="63" t="s">
        <v>57</v>
      </c>
      <c r="C32" s="82">
        <v>3566.5416666666665</v>
      </c>
      <c r="D32" s="59">
        <v>0.18023669224095737</v>
      </c>
    </row>
    <row r="33" spans="2:4" x14ac:dyDescent="0.35">
      <c r="B33" s="64" t="s">
        <v>45</v>
      </c>
      <c r="C33" s="83">
        <v>3479.2452830188681</v>
      </c>
      <c r="D33" s="45">
        <v>0.15209713454460921</v>
      </c>
    </row>
    <row r="34" spans="2:4" x14ac:dyDescent="0.35">
      <c r="B34" s="64" t="s">
        <v>62</v>
      </c>
      <c r="C34" s="83">
        <v>3373.2089552238808</v>
      </c>
      <c r="D34" s="45">
        <v>0.14726325711841348</v>
      </c>
    </row>
    <row r="35" spans="2:4" x14ac:dyDescent="0.35">
      <c r="B35" s="64" t="s">
        <v>82</v>
      </c>
      <c r="C35" s="83">
        <v>3447.3921568627452</v>
      </c>
      <c r="D35" s="45">
        <v>0.14098986670477595</v>
      </c>
    </row>
    <row r="36" spans="2:4" x14ac:dyDescent="0.35">
      <c r="B36" s="64" t="s">
        <v>67</v>
      </c>
      <c r="C36" s="83">
        <v>3414.8472222222222</v>
      </c>
      <c r="D36" s="45">
        <v>0.13320104781588207</v>
      </c>
    </row>
    <row r="37" spans="2:4" ht="15" thickBot="1" x14ac:dyDescent="0.4">
      <c r="B37" s="65" t="s">
        <v>50</v>
      </c>
      <c r="C37" s="83">
        <v>3438.8541666666665</v>
      </c>
      <c r="D37" s="45">
        <v>0.11693453501108982</v>
      </c>
    </row>
    <row r="38" spans="2:4" ht="15" thickBot="1" x14ac:dyDescent="0.4">
      <c r="B38" s="66" t="s">
        <v>389</v>
      </c>
      <c r="C38" s="84">
        <v>3446.4601769911505</v>
      </c>
      <c r="D38" s="46">
        <v>0.1444630203852017</v>
      </c>
    </row>
    <row r="48" spans="2:4" ht="15" thickBot="1" x14ac:dyDescent="0.4"/>
    <row r="49" spans="2:13" ht="24" thickBot="1" x14ac:dyDescent="0.6">
      <c r="B49" s="69" t="s">
        <v>416</v>
      </c>
      <c r="C49" s="79"/>
      <c r="D49" s="80"/>
      <c r="E49" s="80"/>
      <c r="F49" s="78"/>
      <c r="G49" s="79"/>
      <c r="H49" s="80"/>
      <c r="I49" s="27"/>
      <c r="J49" s="27"/>
      <c r="K49" s="27"/>
      <c r="L49" s="27"/>
      <c r="M49" s="28"/>
    </row>
    <row r="52" spans="2:13" x14ac:dyDescent="0.35">
      <c r="B52" t="s">
        <v>448</v>
      </c>
    </row>
  </sheetData>
  <conditionalFormatting pivot="1" sqref="D32:D37">
    <cfRule type="dataBar" priority="3">
      <dataBar>
        <cfvo type="min"/>
        <cfvo type="max"/>
        <color rgb="FF008AEF"/>
      </dataBar>
      <extLst>
        <ext xmlns:x14="http://schemas.microsoft.com/office/spreadsheetml/2009/9/main" uri="{B025F937-C7B1-47D3-B67F-A62EFF666E3E}">
          <x14:id>{46DCFE83-BAA0-4E3F-9C92-DD578AD2F146}</x14:id>
        </ext>
      </extLst>
    </cfRule>
  </conditionalFormatting>
  <conditionalFormatting pivot="1" sqref="D19:D24">
    <cfRule type="dataBar" priority="2">
      <dataBar>
        <cfvo type="min"/>
        <cfvo type="max"/>
        <color rgb="FF63C384"/>
      </dataBar>
      <extLst>
        <ext xmlns:x14="http://schemas.microsoft.com/office/spreadsheetml/2009/9/main" uri="{B025F937-C7B1-47D3-B67F-A62EFF666E3E}">
          <x14:id>{97DB2DB0-E447-4B65-BA7E-29E9C84B810D}</x14:id>
        </ext>
      </extLst>
    </cfRule>
  </conditionalFormatting>
  <conditionalFormatting pivot="1" sqref="C8:C13">
    <cfRule type="dataBar" priority="1">
      <dataBar>
        <cfvo type="min"/>
        <cfvo type="max"/>
        <color rgb="FFFFB628"/>
      </dataBar>
      <extLst>
        <ext xmlns:x14="http://schemas.microsoft.com/office/spreadsheetml/2009/9/main" uri="{B025F937-C7B1-47D3-B67F-A62EFF666E3E}">
          <x14:id>{307BCD1D-CFD9-482B-B366-5E84EF984290}</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46DCFE83-BAA0-4E3F-9C92-DD578AD2F146}">
            <x14:dataBar minLength="0" maxLength="100" border="1" negativeBarBorderColorSameAsPositive="0">
              <x14:cfvo type="autoMin"/>
              <x14:cfvo type="autoMax"/>
              <x14:borderColor rgb="FF008AEF"/>
              <x14:negativeFillColor rgb="FFFF0000"/>
              <x14:negativeBorderColor rgb="FFFF0000"/>
              <x14:axisColor rgb="FF000000"/>
            </x14:dataBar>
          </x14:cfRule>
          <xm:sqref>D32:D37</xm:sqref>
        </x14:conditionalFormatting>
        <x14:conditionalFormatting xmlns:xm="http://schemas.microsoft.com/office/excel/2006/main" pivot="1">
          <x14:cfRule type="dataBar" id="{97DB2DB0-E447-4B65-BA7E-29E9C84B810D}">
            <x14:dataBar minLength="0" maxLength="100" border="1" negativeBarBorderColorSameAsPositive="0">
              <x14:cfvo type="autoMin"/>
              <x14:cfvo type="autoMax"/>
              <x14:borderColor rgb="FF63C384"/>
              <x14:negativeFillColor rgb="FFFF0000"/>
              <x14:negativeBorderColor rgb="FFFF0000"/>
              <x14:axisColor rgb="FF000000"/>
            </x14:dataBar>
          </x14:cfRule>
          <xm:sqref>D19:D24</xm:sqref>
        </x14:conditionalFormatting>
        <x14:conditionalFormatting xmlns:xm="http://schemas.microsoft.com/office/excel/2006/main" pivot="1">
          <x14:cfRule type="dataBar" id="{307BCD1D-CFD9-482B-B366-5E84EF984290}">
            <x14:dataBar minLength="0" maxLength="100" border="1" negativeBarBorderColorSameAsPositive="0">
              <x14:cfvo type="autoMin"/>
              <x14:cfvo type="autoMax"/>
              <x14:borderColor rgb="FFFFB628"/>
              <x14:negativeFillColor rgb="FFFF0000"/>
              <x14:negativeBorderColor rgb="FFFF0000"/>
              <x14:axisColor rgb="FF000000"/>
            </x14:dataBar>
          </x14:cfRule>
          <xm:sqref>C8:C13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7A20-B5D7-4048-A199-D090AD513DF4}">
  <dimension ref="B1:L66"/>
  <sheetViews>
    <sheetView workbookViewId="0">
      <selection activeCell="I52" sqref="I52"/>
    </sheetView>
  </sheetViews>
  <sheetFormatPr defaultRowHeight="14.5" x14ac:dyDescent="0.35"/>
  <cols>
    <col min="2" max="2" width="17" customWidth="1"/>
    <col min="3" max="3" width="11.90625" customWidth="1"/>
    <col min="4" max="4" width="11" customWidth="1"/>
    <col min="5" max="6" width="12.7265625" customWidth="1"/>
  </cols>
  <sheetData>
    <row r="1" spans="2:12" ht="15" thickBot="1" x14ac:dyDescent="0.4"/>
    <row r="2" spans="2:12" ht="24" thickBot="1" x14ac:dyDescent="0.6">
      <c r="B2" s="85" t="s">
        <v>417</v>
      </c>
      <c r="C2" s="86"/>
      <c r="D2" s="86"/>
      <c r="E2" s="86"/>
      <c r="F2" s="28"/>
    </row>
    <row r="4" spans="2:12" ht="15" thickBot="1" x14ac:dyDescent="0.4"/>
    <row r="5" spans="2:12" ht="24" thickBot="1" x14ac:dyDescent="0.6">
      <c r="B5" s="85" t="s">
        <v>418</v>
      </c>
      <c r="C5" s="86"/>
      <c r="D5" s="86"/>
      <c r="E5" s="86"/>
      <c r="F5" s="87"/>
      <c r="G5" s="27"/>
      <c r="H5" s="27"/>
      <c r="I5" s="28"/>
      <c r="J5" s="27"/>
      <c r="K5" s="27"/>
      <c r="L5" s="28"/>
    </row>
    <row r="7" spans="2:12" ht="15" thickBot="1" x14ac:dyDescent="0.4"/>
    <row r="8" spans="2:12" x14ac:dyDescent="0.35">
      <c r="B8" s="32" t="s">
        <v>388</v>
      </c>
      <c r="C8" s="39" t="s">
        <v>394</v>
      </c>
      <c r="D8" s="40" t="s">
        <v>398</v>
      </c>
      <c r="E8" s="40" t="s">
        <v>419</v>
      </c>
      <c r="F8" s="33"/>
    </row>
    <row r="9" spans="2:12" x14ac:dyDescent="0.35">
      <c r="B9" s="34" t="s">
        <v>7</v>
      </c>
      <c r="C9" s="41">
        <v>154613</v>
      </c>
      <c r="D9" s="41">
        <v>7094</v>
      </c>
      <c r="E9" s="41">
        <v>2090555</v>
      </c>
      <c r="F9" s="42"/>
    </row>
    <row r="10" spans="2:12" x14ac:dyDescent="0.35">
      <c r="B10" s="34" t="s">
        <v>15</v>
      </c>
      <c r="C10" s="41">
        <v>201400</v>
      </c>
      <c r="D10" s="41">
        <v>11039</v>
      </c>
      <c r="E10" s="41">
        <v>2507489</v>
      </c>
      <c r="F10" s="42"/>
    </row>
    <row r="11" spans="2:12" x14ac:dyDescent="0.35">
      <c r="B11" s="34" t="s">
        <v>11</v>
      </c>
      <c r="C11" s="41">
        <v>185071</v>
      </c>
      <c r="D11" s="41">
        <v>11168</v>
      </c>
      <c r="E11" s="41">
        <v>2318527</v>
      </c>
      <c r="F11" s="42"/>
    </row>
    <row r="12" spans="2:12" x14ac:dyDescent="0.35">
      <c r="B12" s="34" t="s">
        <v>80</v>
      </c>
      <c r="C12" s="41">
        <v>162829</v>
      </c>
      <c r="D12" s="41">
        <v>9204</v>
      </c>
      <c r="E12" s="41">
        <v>1936618</v>
      </c>
      <c r="F12" s="42"/>
    </row>
    <row r="13" spans="2:12" x14ac:dyDescent="0.35">
      <c r="B13" s="34" t="s">
        <v>19</v>
      </c>
      <c r="C13" s="41">
        <v>219562</v>
      </c>
      <c r="D13" s="41">
        <v>12544</v>
      </c>
      <c r="E13" s="41">
        <v>2905567</v>
      </c>
      <c r="F13" s="42"/>
    </row>
    <row r="14" spans="2:12" ht="15" thickBot="1" x14ac:dyDescent="0.4">
      <c r="B14" s="35" t="s">
        <v>389</v>
      </c>
      <c r="C14" s="43">
        <v>923475</v>
      </c>
      <c r="D14" s="43">
        <v>51049</v>
      </c>
      <c r="E14" s="43">
        <v>11758756</v>
      </c>
      <c r="F14" s="44"/>
    </row>
    <row r="17" spans="2:12" x14ac:dyDescent="0.35">
      <c r="B17" s="13" t="s">
        <v>388</v>
      </c>
      <c r="C17" s="13" t="s">
        <v>420</v>
      </c>
      <c r="D17" t="s">
        <v>399</v>
      </c>
      <c r="E17" t="s">
        <v>421</v>
      </c>
    </row>
    <row r="18" spans="2:12" x14ac:dyDescent="0.35">
      <c r="B18" s="14" t="s">
        <v>7</v>
      </c>
      <c r="C18" s="12">
        <v>2917.2264150943397</v>
      </c>
      <c r="D18" s="12">
        <v>133.84905660377359</v>
      </c>
      <c r="E18" s="12">
        <v>39444.433962264149</v>
      </c>
    </row>
    <row r="19" spans="2:12" x14ac:dyDescent="0.35">
      <c r="B19" s="14" t="s">
        <v>11</v>
      </c>
      <c r="C19" s="12">
        <v>2721.6323529411766</v>
      </c>
      <c r="D19" s="12">
        <v>164.23529411764707</v>
      </c>
      <c r="E19" s="12">
        <v>34095.98529411765</v>
      </c>
    </row>
    <row r="20" spans="2:12" x14ac:dyDescent="0.35">
      <c r="B20" s="14" t="s">
        <v>19</v>
      </c>
      <c r="C20" s="12">
        <v>2710.641975308642</v>
      </c>
      <c r="D20" s="12">
        <v>154.8641975308642</v>
      </c>
      <c r="E20" s="12">
        <v>35871.1975308642</v>
      </c>
    </row>
    <row r="21" spans="2:12" x14ac:dyDescent="0.35">
      <c r="B21" s="14" t="s">
        <v>80</v>
      </c>
      <c r="C21" s="12">
        <v>2669.3278688524592</v>
      </c>
      <c r="D21" s="12">
        <v>150.88524590163934</v>
      </c>
      <c r="E21" s="12">
        <v>31747.836065573771</v>
      </c>
    </row>
    <row r="22" spans="2:12" x14ac:dyDescent="0.35">
      <c r="B22" s="14" t="s">
        <v>15</v>
      </c>
      <c r="C22" s="12">
        <v>2650</v>
      </c>
      <c r="D22" s="12">
        <v>145.25</v>
      </c>
      <c r="E22" s="12">
        <v>32993.276315789473</v>
      </c>
    </row>
    <row r="23" spans="2:12" x14ac:dyDescent="0.35">
      <c r="B23" s="14" t="s">
        <v>389</v>
      </c>
      <c r="C23" s="12">
        <v>2724.1150442477874</v>
      </c>
      <c r="D23" s="12">
        <v>150.58702064896755</v>
      </c>
      <c r="E23" s="12">
        <v>34686.595870206489</v>
      </c>
    </row>
    <row r="26" spans="2:12" ht="15" thickBot="1" x14ac:dyDescent="0.4"/>
    <row r="27" spans="2:12" ht="24" thickBot="1" x14ac:dyDescent="0.6">
      <c r="B27" s="85" t="s">
        <v>422</v>
      </c>
      <c r="C27" s="86"/>
      <c r="D27" s="86"/>
      <c r="E27" s="86"/>
      <c r="F27" s="87"/>
      <c r="G27" s="85"/>
      <c r="H27" s="27"/>
      <c r="I27" s="27"/>
      <c r="J27" s="27"/>
      <c r="K27" s="27"/>
      <c r="L27" s="28"/>
    </row>
    <row r="30" spans="2:12" x14ac:dyDescent="0.35">
      <c r="B30" s="88" t="s">
        <v>0</v>
      </c>
      <c r="C30" s="88" t="s">
        <v>1</v>
      </c>
      <c r="D30" s="88" t="s">
        <v>2</v>
      </c>
      <c r="E30" s="88" t="s">
        <v>423</v>
      </c>
      <c r="F30" s="88" t="s">
        <v>424</v>
      </c>
      <c r="G30" s="89" t="s">
        <v>425</v>
      </c>
    </row>
    <row r="31" spans="2:12" x14ac:dyDescent="0.35">
      <c r="B31" s="17" t="s">
        <v>7</v>
      </c>
      <c r="C31" s="18">
        <v>45458</v>
      </c>
      <c r="D31" s="18">
        <v>45488</v>
      </c>
      <c r="E31" s="12">
        <f>AVERAGEIFS(Posts[Engagement],Posts[Campaign_Name],B31,Posts[Date],"&lt;"&amp;C31)</f>
        <v>2865</v>
      </c>
      <c r="F31" s="12">
        <f>AVERAGEIFS(Posts[Engagement],Posts[Campaign_Name],B31,Posts[Date],"&gt;="&amp;C31,Posts[Date],"&lt;"&amp;D31)</f>
        <v>3915.8333333333335</v>
      </c>
      <c r="G31" s="9">
        <f>(F31-E31)/E31</f>
        <v>0.36678301337987207</v>
      </c>
    </row>
    <row r="32" spans="2:12" x14ac:dyDescent="0.35">
      <c r="B32" s="22" t="s">
        <v>11</v>
      </c>
      <c r="C32" s="23">
        <v>45566</v>
      </c>
      <c r="D32" s="23">
        <v>45596</v>
      </c>
      <c r="E32" s="12">
        <f>AVERAGEIFS(Posts[Engagement],Posts[Campaign_Name],B32,Posts[Date],"&lt;"&amp;C32)</f>
        <v>3408.125</v>
      </c>
      <c r="F32" s="12">
        <f>AVERAGEIFS(Posts[Engagement],Posts[Campaign_Name],B32,Posts[Date],"&gt;="&amp;C32,Posts[Date],"&lt;"&amp;D32)</f>
        <v>3777.1666666666665</v>
      </c>
      <c r="G32" s="9">
        <f t="shared" ref="G32:G34" si="0">(F32-E32)/E32</f>
        <v>0.10828290237789591</v>
      </c>
    </row>
    <row r="33" spans="2:9" x14ac:dyDescent="0.35">
      <c r="B33" s="17" t="s">
        <v>15</v>
      </c>
      <c r="C33" s="18">
        <v>45651</v>
      </c>
      <c r="D33" s="18">
        <v>45667</v>
      </c>
      <c r="E33" s="12">
        <f>AVERAGEIFS(Posts[Engagement],Posts[Campaign_Name],B33,Posts[Date],"&lt;"&amp;C33)</f>
        <v>3304.64</v>
      </c>
      <c r="F33" s="12">
        <f>AVERAGEIFS(Posts[Engagement],Posts[Campaign_Name],B33,Posts[Date],"&gt;="&amp;C33,Posts[Date],"&lt;"&amp;D33)</f>
        <v>3579.25</v>
      </c>
      <c r="G33" s="9">
        <f t="shared" si="0"/>
        <v>8.3098310254672264E-2</v>
      </c>
    </row>
    <row r="34" spans="2:9" x14ac:dyDescent="0.35">
      <c r="B34" s="22" t="s">
        <v>19</v>
      </c>
      <c r="C34" s="23">
        <v>45717</v>
      </c>
      <c r="D34" s="23">
        <v>45747</v>
      </c>
      <c r="E34" s="12">
        <f>AVERAGEIFS(Posts[Engagement],Posts[Campaign_Name],B34,Posts[Date],"&lt;"&amp;C34)</f>
        <v>3482.5</v>
      </c>
      <c r="F34" s="12">
        <f>AVERAGEIFS(Posts[Engagement],Posts[Campaign_Name],B34,Posts[Date],"&gt;="&amp;C34,Posts[Date],"&lt;"&amp;D34)</f>
        <v>3081.8888888888887</v>
      </c>
      <c r="G34" s="9">
        <f t="shared" si="0"/>
        <v>-0.11503549493499247</v>
      </c>
    </row>
    <row r="45" spans="2:9" ht="15" thickBot="1" x14ac:dyDescent="0.4"/>
    <row r="46" spans="2:9" ht="24" thickBot="1" x14ac:dyDescent="0.6">
      <c r="B46" s="85" t="s">
        <v>426</v>
      </c>
      <c r="C46" s="86"/>
      <c r="D46" s="86"/>
      <c r="E46" s="86"/>
      <c r="F46" s="87"/>
      <c r="G46" s="27"/>
      <c r="H46" s="28"/>
      <c r="I46" s="28"/>
    </row>
    <row r="49" spans="2:8" x14ac:dyDescent="0.35">
      <c r="B49" s="3" t="s">
        <v>0</v>
      </c>
      <c r="C49" s="4" t="s">
        <v>382</v>
      </c>
      <c r="D49" s="4" t="s">
        <v>4</v>
      </c>
      <c r="E49" s="5" t="s">
        <v>427</v>
      </c>
    </row>
    <row r="50" spans="2:8" x14ac:dyDescent="0.35">
      <c r="B50" s="21" t="s">
        <v>19</v>
      </c>
      <c r="C50">
        <f>SUMIFS(Posts[Engagement],Posts[Campaign_Name],B50)</f>
        <v>278843</v>
      </c>
      <c r="D50" s="7">
        <v>180000</v>
      </c>
      <c r="E50" s="11">
        <f>C50/D50</f>
        <v>1.5491277777777779</v>
      </c>
    </row>
    <row r="51" spans="2:8" x14ac:dyDescent="0.35">
      <c r="B51" s="16" t="s">
        <v>7</v>
      </c>
      <c r="C51">
        <f>SUMIFS(Posts[Engagement],Posts[Campaign_Name],B51)</f>
        <v>193900</v>
      </c>
      <c r="D51" s="6">
        <v>150000</v>
      </c>
      <c r="E51" s="11">
        <f>C51/D51</f>
        <v>1.2926666666666666</v>
      </c>
    </row>
    <row r="52" spans="2:8" x14ac:dyDescent="0.35">
      <c r="B52" s="21" t="s">
        <v>11</v>
      </c>
      <c r="C52">
        <f>SUMIFS(Posts[Engagement],Posts[Campaign_Name],B52)</f>
        <v>233721</v>
      </c>
      <c r="D52" s="7">
        <v>200000</v>
      </c>
      <c r="E52" s="11">
        <f>C52/D52</f>
        <v>1.1686049999999999</v>
      </c>
    </row>
    <row r="53" spans="2:8" x14ac:dyDescent="0.35">
      <c r="B53" s="16" t="s">
        <v>15</v>
      </c>
      <c r="C53">
        <f>SUMIFS(Posts[Engagement],Posts[Campaign_Name],B53)</f>
        <v>257608</v>
      </c>
      <c r="D53" s="6">
        <v>250000</v>
      </c>
      <c r="E53" s="11">
        <f>C53/D53</f>
        <v>1.030432</v>
      </c>
    </row>
    <row r="59" spans="2:8" ht="15" thickBot="1" x14ac:dyDescent="0.4"/>
    <row r="60" spans="2:8" ht="24" thickBot="1" x14ac:dyDescent="0.6">
      <c r="B60" s="85" t="s">
        <v>428</v>
      </c>
      <c r="C60" s="86"/>
      <c r="D60" s="86"/>
      <c r="E60" s="86"/>
      <c r="F60" s="27"/>
      <c r="G60" s="27"/>
      <c r="H60" s="28"/>
    </row>
    <row r="62" spans="2:8" x14ac:dyDescent="0.35">
      <c r="B62" s="88" t="s">
        <v>0</v>
      </c>
      <c r="C62" s="89" t="s">
        <v>386</v>
      </c>
    </row>
    <row r="63" spans="2:8" x14ac:dyDescent="0.35">
      <c r="B63" s="22" t="s">
        <v>19</v>
      </c>
      <c r="C63">
        <f>SUMIFS(Engagement_Summary[Growth],Engagement_Summary[Campaign Name],B63)</f>
        <v>16078</v>
      </c>
    </row>
    <row r="64" spans="2:8" x14ac:dyDescent="0.35">
      <c r="B64" s="17" t="s">
        <v>7</v>
      </c>
      <c r="C64">
        <f>SUMIFS(Engagement_Summary[Growth],Engagement_Summary[Campaign Name],B64)</f>
        <v>13523</v>
      </c>
    </row>
    <row r="65" spans="2:3" x14ac:dyDescent="0.35">
      <c r="B65" s="22" t="s">
        <v>11</v>
      </c>
      <c r="C65">
        <f>SUMIFS(Engagement_Summary[Growth],Engagement_Summary[Campaign Name],B65)</f>
        <v>11092</v>
      </c>
    </row>
    <row r="66" spans="2:3" x14ac:dyDescent="0.35">
      <c r="B66" s="17" t="s">
        <v>15</v>
      </c>
      <c r="C66">
        <f>SUMIFS(Engagement_Summary[Growth],Engagement_Summary[Campaign Name],B66)</f>
        <v>10087</v>
      </c>
    </row>
  </sheetData>
  <sortState xmlns:xlrd2="http://schemas.microsoft.com/office/spreadsheetml/2017/richdata2" ref="B50:E53">
    <sortCondition descending="1" ref="E50:E53"/>
  </sortState>
  <conditionalFormatting sqref="E50:E53">
    <cfRule type="dataBar" priority="2">
      <dataBar>
        <cfvo type="min"/>
        <cfvo type="max"/>
        <color rgb="FF008AEF"/>
      </dataBar>
      <extLst>
        <ext xmlns:x14="http://schemas.microsoft.com/office/spreadsheetml/2009/9/main" uri="{B025F937-C7B1-47D3-B67F-A62EFF666E3E}">
          <x14:id>{4915916B-47F1-4879-A8D4-C432FF5D402D}</x14:id>
        </ext>
      </extLst>
    </cfRule>
  </conditionalFormatting>
  <conditionalFormatting sqref="G31:G34">
    <cfRule type="dataBar" priority="1">
      <dataBar>
        <cfvo type="min"/>
        <cfvo type="max"/>
        <color rgb="FFFF555A"/>
      </dataBar>
      <extLst>
        <ext xmlns:x14="http://schemas.microsoft.com/office/spreadsheetml/2009/9/main" uri="{B025F937-C7B1-47D3-B67F-A62EFF666E3E}">
          <x14:id>{D06044E9-6039-45E2-A3BB-AA6298F2C8D1}</x14:id>
        </ext>
      </extLst>
    </cfRule>
  </conditionalFormatting>
  <pageMargins left="0.7" right="0.7" top="0.75" bottom="0.75" header="0.3" footer="0.3"/>
  <drawing r:id="rId3"/>
  <tableParts count="2">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4915916B-47F1-4879-A8D4-C432FF5D402D}">
            <x14:dataBar minLength="0" maxLength="100" border="1" negativeBarBorderColorSameAsPositive="0">
              <x14:cfvo type="autoMin"/>
              <x14:cfvo type="autoMax"/>
              <x14:borderColor rgb="FF008AEF"/>
              <x14:negativeFillColor rgb="FFFF0000"/>
              <x14:negativeBorderColor rgb="FFFF0000"/>
              <x14:axisColor rgb="FF000000"/>
            </x14:dataBar>
          </x14:cfRule>
          <xm:sqref>E50:E53</xm:sqref>
        </x14:conditionalFormatting>
        <x14:conditionalFormatting xmlns:xm="http://schemas.microsoft.com/office/excel/2006/main">
          <x14:cfRule type="dataBar" id="{D06044E9-6039-45E2-A3BB-AA6298F2C8D1}">
            <x14:dataBar minLength="0" maxLength="100" border="1" negativeBarBorderColorSameAsPositive="0">
              <x14:cfvo type="autoMin"/>
              <x14:cfvo type="autoMax"/>
              <x14:borderColor rgb="FFFF555A"/>
              <x14:negativeFillColor rgb="FFFF0000"/>
              <x14:negativeBorderColor rgb="FFFF0000"/>
              <x14:axisColor rgb="FF000000"/>
            </x14:dataBar>
          </x14:cfRule>
          <xm:sqref>G31:G34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CD3E-C3A6-482D-9676-255FF17B1F01}">
  <dimension ref="B2:K141"/>
  <sheetViews>
    <sheetView topLeftCell="A136" zoomScaleNormal="100" workbookViewId="0">
      <selection activeCell="D67" sqref="D67"/>
    </sheetView>
  </sheetViews>
  <sheetFormatPr defaultRowHeight="14.5" x14ac:dyDescent="0.35"/>
  <cols>
    <col min="2" max="2" width="13.54296875" bestFit="1" customWidth="1"/>
    <col min="3" max="3" width="15.26953125" bestFit="1" customWidth="1"/>
    <col min="4" max="4" width="13.6328125" customWidth="1"/>
    <col min="5" max="5" width="6.90625" bestFit="1" customWidth="1"/>
    <col min="6" max="6" width="8.1796875" bestFit="1" customWidth="1"/>
    <col min="7" max="7" width="10.7265625" bestFit="1" customWidth="1"/>
  </cols>
  <sheetData>
    <row r="2" spans="2:11" ht="15" thickBot="1" x14ac:dyDescent="0.4"/>
    <row r="3" spans="2:11" ht="24" thickBot="1" x14ac:dyDescent="0.6">
      <c r="B3" s="90" t="s">
        <v>430</v>
      </c>
      <c r="C3" s="91"/>
      <c r="D3" s="91"/>
      <c r="E3" s="91"/>
      <c r="F3" s="91"/>
      <c r="G3" s="92"/>
    </row>
    <row r="5" spans="2:11" ht="15" thickBot="1" x14ac:dyDescent="0.4"/>
    <row r="6" spans="2:11" ht="24" thickBot="1" x14ac:dyDescent="0.6">
      <c r="B6" s="90" t="s">
        <v>431</v>
      </c>
      <c r="C6" s="91"/>
      <c r="D6" s="91"/>
      <c r="E6" s="91"/>
      <c r="F6" s="91"/>
      <c r="G6" s="92"/>
      <c r="H6" s="27"/>
      <c r="I6" s="27"/>
      <c r="J6" s="28"/>
      <c r="K6" s="28"/>
    </row>
    <row r="8" spans="2:11" ht="15" thickBot="1" x14ac:dyDescent="0.4"/>
    <row r="9" spans="2:11" ht="15" thickBot="1" x14ac:dyDescent="0.4">
      <c r="B9" s="62" t="s">
        <v>405</v>
      </c>
      <c r="C9" s="62" t="s">
        <v>432</v>
      </c>
      <c r="D9" s="56"/>
      <c r="E9" s="27"/>
      <c r="F9" s="27"/>
      <c r="G9" s="28"/>
      <c r="H9" s="33"/>
    </row>
    <row r="10" spans="2:11" ht="15" thickBot="1" x14ac:dyDescent="0.4">
      <c r="B10" s="62" t="s">
        <v>384</v>
      </c>
      <c r="C10" s="56" t="s">
        <v>30</v>
      </c>
      <c r="D10" s="27" t="s">
        <v>29</v>
      </c>
      <c r="E10" s="27" t="s">
        <v>31</v>
      </c>
      <c r="F10" s="28" t="s">
        <v>32</v>
      </c>
      <c r="G10" s="30" t="s">
        <v>389</v>
      </c>
      <c r="H10" s="42"/>
    </row>
    <row r="11" spans="2:11" x14ac:dyDescent="0.35">
      <c r="B11" s="97">
        <v>1</v>
      </c>
      <c r="C11" s="58">
        <v>1002</v>
      </c>
      <c r="D11" s="95">
        <v>1047</v>
      </c>
      <c r="E11" s="95">
        <v>415</v>
      </c>
      <c r="F11" s="95">
        <v>1090</v>
      </c>
      <c r="G11" s="96">
        <v>3554</v>
      </c>
      <c r="H11" s="42"/>
    </row>
    <row r="12" spans="2:11" x14ac:dyDescent="0.35">
      <c r="B12" s="98">
        <v>2</v>
      </c>
      <c r="C12" s="60">
        <v>1283</v>
      </c>
      <c r="D12" s="41">
        <v>517</v>
      </c>
      <c r="E12" s="41">
        <v>186</v>
      </c>
      <c r="F12" s="41">
        <v>994</v>
      </c>
      <c r="G12" s="73">
        <v>2980</v>
      </c>
      <c r="H12" s="42"/>
    </row>
    <row r="13" spans="2:11" x14ac:dyDescent="0.35">
      <c r="B13" s="98">
        <v>3</v>
      </c>
      <c r="C13" s="60">
        <v>1382</v>
      </c>
      <c r="D13" s="41">
        <v>893</v>
      </c>
      <c r="E13" s="41">
        <v>1295</v>
      </c>
      <c r="F13" s="41">
        <v>337</v>
      </c>
      <c r="G13" s="73">
        <v>3907</v>
      </c>
      <c r="H13" s="42"/>
    </row>
    <row r="14" spans="2:11" x14ac:dyDescent="0.35">
      <c r="B14" s="98">
        <v>4</v>
      </c>
      <c r="C14" s="60">
        <v>1670</v>
      </c>
      <c r="D14" s="41">
        <v>629</v>
      </c>
      <c r="E14" s="41">
        <v>835</v>
      </c>
      <c r="F14" s="41">
        <v>-123</v>
      </c>
      <c r="G14" s="73">
        <v>3011</v>
      </c>
      <c r="H14" s="42"/>
    </row>
    <row r="15" spans="2:11" x14ac:dyDescent="0.35">
      <c r="B15" s="98">
        <v>5</v>
      </c>
      <c r="C15" s="60">
        <v>64</v>
      </c>
      <c r="D15" s="41">
        <v>-219</v>
      </c>
      <c r="E15" s="41">
        <v>1357</v>
      </c>
      <c r="F15" s="41">
        <v>91</v>
      </c>
      <c r="G15" s="73">
        <v>1293</v>
      </c>
      <c r="H15" s="42"/>
    </row>
    <row r="16" spans="2:11" x14ac:dyDescent="0.35">
      <c r="B16" s="98">
        <v>6</v>
      </c>
      <c r="C16" s="60">
        <v>309</v>
      </c>
      <c r="D16" s="41">
        <v>1672</v>
      </c>
      <c r="E16" s="41">
        <v>547</v>
      </c>
      <c r="F16" s="41">
        <v>514</v>
      </c>
      <c r="G16" s="73">
        <v>3042</v>
      </c>
      <c r="H16" s="42"/>
    </row>
    <row r="17" spans="2:8" x14ac:dyDescent="0.35">
      <c r="B17" s="98">
        <v>7</v>
      </c>
      <c r="C17" s="60">
        <v>-164</v>
      </c>
      <c r="D17" s="41">
        <v>1845</v>
      </c>
      <c r="E17" s="41">
        <v>429</v>
      </c>
      <c r="F17" s="41">
        <v>160</v>
      </c>
      <c r="G17" s="73">
        <v>2270</v>
      </c>
      <c r="H17" s="42"/>
    </row>
    <row r="18" spans="2:8" x14ac:dyDescent="0.35">
      <c r="B18" s="98">
        <v>8</v>
      </c>
      <c r="C18" s="60">
        <v>961</v>
      </c>
      <c r="D18" s="41">
        <v>159</v>
      </c>
      <c r="E18" s="41">
        <v>1316</v>
      </c>
      <c r="F18" s="41">
        <v>317</v>
      </c>
      <c r="G18" s="73">
        <v>2753</v>
      </c>
      <c r="H18" s="42"/>
    </row>
    <row r="19" spans="2:8" x14ac:dyDescent="0.35">
      <c r="B19" s="98">
        <v>9</v>
      </c>
      <c r="C19" s="60">
        <v>-318</v>
      </c>
      <c r="D19" s="41">
        <v>541</v>
      </c>
      <c r="E19" s="41">
        <v>1495</v>
      </c>
      <c r="F19" s="41">
        <v>475</v>
      </c>
      <c r="G19" s="73">
        <v>2193</v>
      </c>
      <c r="H19" s="42"/>
    </row>
    <row r="20" spans="2:8" x14ac:dyDescent="0.35">
      <c r="B20" s="98">
        <v>10</v>
      </c>
      <c r="C20" s="60">
        <v>-197</v>
      </c>
      <c r="D20" s="41">
        <v>352</v>
      </c>
      <c r="E20" s="41">
        <v>328</v>
      </c>
      <c r="F20" s="41">
        <v>319</v>
      </c>
      <c r="G20" s="73">
        <v>802</v>
      </c>
      <c r="H20" s="42"/>
    </row>
    <row r="21" spans="2:8" x14ac:dyDescent="0.35">
      <c r="B21" s="98">
        <v>11</v>
      </c>
      <c r="C21" s="60">
        <v>1334</v>
      </c>
      <c r="D21" s="41">
        <v>1325</v>
      </c>
      <c r="E21" s="41">
        <v>37</v>
      </c>
      <c r="F21" s="41">
        <v>1032</v>
      </c>
      <c r="G21" s="73">
        <v>3728</v>
      </c>
      <c r="H21" s="42"/>
    </row>
    <row r="22" spans="2:8" x14ac:dyDescent="0.35">
      <c r="B22" s="98">
        <v>12</v>
      </c>
      <c r="C22" s="60">
        <v>1058</v>
      </c>
      <c r="D22" s="41">
        <v>76</v>
      </c>
      <c r="E22" s="41">
        <v>1665</v>
      </c>
      <c r="F22" s="41">
        <v>190</v>
      </c>
      <c r="G22" s="73">
        <v>2989</v>
      </c>
      <c r="H22" s="42"/>
    </row>
    <row r="23" spans="2:8" x14ac:dyDescent="0.35">
      <c r="B23" s="98">
        <v>13</v>
      </c>
      <c r="C23" s="60">
        <v>37</v>
      </c>
      <c r="D23" s="41">
        <v>1609</v>
      </c>
      <c r="E23" s="41">
        <v>1229</v>
      </c>
      <c r="F23" s="41">
        <v>28</v>
      </c>
      <c r="G23" s="73">
        <v>2903</v>
      </c>
      <c r="H23" s="42"/>
    </row>
    <row r="24" spans="2:8" x14ac:dyDescent="0.35">
      <c r="B24" s="98">
        <v>14</v>
      </c>
      <c r="C24" s="60">
        <v>1045</v>
      </c>
      <c r="D24" s="41">
        <v>1247</v>
      </c>
      <c r="E24" s="41">
        <v>197</v>
      </c>
      <c r="F24" s="41">
        <v>333</v>
      </c>
      <c r="G24" s="73">
        <v>2822</v>
      </c>
      <c r="H24" s="42"/>
    </row>
    <row r="25" spans="2:8" x14ac:dyDescent="0.35">
      <c r="B25" s="98">
        <v>15</v>
      </c>
      <c r="C25" s="60">
        <v>1428</v>
      </c>
      <c r="D25" s="41">
        <v>1572</v>
      </c>
      <c r="E25" s="41">
        <v>260</v>
      </c>
      <c r="F25" s="41">
        <v>1100</v>
      </c>
      <c r="G25" s="73">
        <v>4360</v>
      </c>
      <c r="H25" s="42"/>
    </row>
    <row r="26" spans="2:8" x14ac:dyDescent="0.35">
      <c r="B26" s="98">
        <v>16</v>
      </c>
      <c r="C26" s="60">
        <v>98</v>
      </c>
      <c r="D26" s="41">
        <v>377</v>
      </c>
      <c r="E26" s="41">
        <v>1125</v>
      </c>
      <c r="F26" s="41">
        <v>-32</v>
      </c>
      <c r="G26" s="73">
        <v>1568</v>
      </c>
      <c r="H26" s="42"/>
    </row>
    <row r="27" spans="2:8" x14ac:dyDescent="0.35">
      <c r="B27" s="98">
        <v>17</v>
      </c>
      <c r="C27" s="60">
        <v>-19</v>
      </c>
      <c r="D27" s="41">
        <v>666</v>
      </c>
      <c r="E27" s="41">
        <v>1680</v>
      </c>
      <c r="F27" s="41">
        <v>1006</v>
      </c>
      <c r="G27" s="73">
        <v>3333</v>
      </c>
      <c r="H27" s="42"/>
    </row>
    <row r="28" spans="2:8" x14ac:dyDescent="0.35">
      <c r="B28" s="98">
        <v>18</v>
      </c>
      <c r="C28" s="60">
        <v>-179</v>
      </c>
      <c r="D28" s="41">
        <v>1025</v>
      </c>
      <c r="E28" s="41">
        <v>599</v>
      </c>
      <c r="F28" s="41">
        <v>1706</v>
      </c>
      <c r="G28" s="73">
        <v>3151</v>
      </c>
      <c r="H28" s="42"/>
    </row>
    <row r="29" spans="2:8" x14ac:dyDescent="0.35">
      <c r="B29" s="98">
        <v>19</v>
      </c>
      <c r="C29" s="60">
        <v>1662</v>
      </c>
      <c r="D29" s="41">
        <v>1872</v>
      </c>
      <c r="E29" s="41">
        <v>107</v>
      </c>
      <c r="F29" s="41">
        <v>118</v>
      </c>
      <c r="G29" s="73">
        <v>3759</v>
      </c>
      <c r="H29" s="42"/>
    </row>
    <row r="30" spans="2:8" x14ac:dyDescent="0.35">
      <c r="B30" s="98">
        <v>20</v>
      </c>
      <c r="C30" s="60">
        <v>285</v>
      </c>
      <c r="D30" s="41">
        <v>1224</v>
      </c>
      <c r="E30" s="41">
        <v>-20</v>
      </c>
      <c r="F30" s="41">
        <v>367</v>
      </c>
      <c r="G30" s="73">
        <v>1856</v>
      </c>
      <c r="H30" s="42"/>
    </row>
    <row r="31" spans="2:8" x14ac:dyDescent="0.35">
      <c r="B31" s="98">
        <v>21</v>
      </c>
      <c r="C31" s="60">
        <v>439</v>
      </c>
      <c r="D31" s="41">
        <v>262</v>
      </c>
      <c r="E31" s="41">
        <v>636</v>
      </c>
      <c r="F31" s="41">
        <v>1484</v>
      </c>
      <c r="G31" s="73">
        <v>2821</v>
      </c>
      <c r="H31" s="42"/>
    </row>
    <row r="32" spans="2:8" x14ac:dyDescent="0.35">
      <c r="B32" s="98">
        <v>22</v>
      </c>
      <c r="C32" s="60">
        <v>386</v>
      </c>
      <c r="D32" s="41">
        <v>576</v>
      </c>
      <c r="E32" s="41">
        <v>37</v>
      </c>
      <c r="F32" s="41">
        <v>1657</v>
      </c>
      <c r="G32" s="73">
        <v>2656</v>
      </c>
      <c r="H32" s="42"/>
    </row>
    <row r="33" spans="2:8" x14ac:dyDescent="0.35">
      <c r="B33" s="98">
        <v>23</v>
      </c>
      <c r="C33" s="60">
        <v>540</v>
      </c>
      <c r="D33" s="41">
        <v>1397</v>
      </c>
      <c r="E33" s="41">
        <v>1603</v>
      </c>
      <c r="F33" s="41">
        <v>1044</v>
      </c>
      <c r="G33" s="73">
        <v>4584</v>
      </c>
      <c r="H33" s="42"/>
    </row>
    <row r="34" spans="2:8" x14ac:dyDescent="0.35">
      <c r="B34" s="98">
        <v>24</v>
      </c>
      <c r="C34" s="60">
        <v>-106</v>
      </c>
      <c r="D34" s="41">
        <v>902</v>
      </c>
      <c r="E34" s="41">
        <v>1150</v>
      </c>
      <c r="F34" s="41">
        <v>349</v>
      </c>
      <c r="G34" s="73">
        <v>2295</v>
      </c>
      <c r="H34" s="42"/>
    </row>
    <row r="35" spans="2:8" x14ac:dyDescent="0.35">
      <c r="B35" s="98">
        <v>25</v>
      </c>
      <c r="C35" s="60">
        <v>72</v>
      </c>
      <c r="D35" s="41">
        <v>-49</v>
      </c>
      <c r="E35" s="41">
        <v>445</v>
      </c>
      <c r="F35" s="41">
        <v>60</v>
      </c>
      <c r="G35" s="73">
        <v>528</v>
      </c>
      <c r="H35" s="42"/>
    </row>
    <row r="36" spans="2:8" x14ac:dyDescent="0.35">
      <c r="B36" s="98">
        <v>26</v>
      </c>
      <c r="C36" s="60">
        <v>1332</v>
      </c>
      <c r="D36" s="41">
        <v>1693</v>
      </c>
      <c r="E36" s="41">
        <v>98</v>
      </c>
      <c r="F36" s="41">
        <v>885</v>
      </c>
      <c r="G36" s="73">
        <v>4008</v>
      </c>
      <c r="H36" s="42"/>
    </row>
    <row r="37" spans="2:8" x14ac:dyDescent="0.35">
      <c r="B37" s="98">
        <v>27</v>
      </c>
      <c r="C37" s="60">
        <v>1706</v>
      </c>
      <c r="D37" s="41">
        <v>1625</v>
      </c>
      <c r="E37" s="41">
        <v>1173</v>
      </c>
      <c r="F37" s="41">
        <v>291</v>
      </c>
      <c r="G37" s="73">
        <v>4795</v>
      </c>
      <c r="H37" s="42"/>
    </row>
    <row r="38" spans="2:8" x14ac:dyDescent="0.35">
      <c r="B38" s="98">
        <v>28</v>
      </c>
      <c r="C38" s="60">
        <v>1373</v>
      </c>
      <c r="D38" s="41">
        <v>1119</v>
      </c>
      <c r="E38" s="41">
        <v>1727</v>
      </c>
      <c r="F38" s="41">
        <v>573</v>
      </c>
      <c r="G38" s="73">
        <v>4792</v>
      </c>
      <c r="H38" s="42"/>
    </row>
    <row r="39" spans="2:8" x14ac:dyDescent="0.35">
      <c r="B39" s="98">
        <v>29</v>
      </c>
      <c r="C39" s="60">
        <v>1377</v>
      </c>
      <c r="D39" s="41">
        <v>1432</v>
      </c>
      <c r="E39" s="41">
        <v>1359</v>
      </c>
      <c r="F39" s="41">
        <v>876</v>
      </c>
      <c r="G39" s="73">
        <v>5044</v>
      </c>
      <c r="H39" s="42"/>
    </row>
    <row r="40" spans="2:8" x14ac:dyDescent="0.35">
      <c r="B40" s="98">
        <v>30</v>
      </c>
      <c r="C40" s="60">
        <v>730</v>
      </c>
      <c r="D40" s="41">
        <v>684</v>
      </c>
      <c r="E40" s="41">
        <v>911</v>
      </c>
      <c r="F40" s="41">
        <v>1589</v>
      </c>
      <c r="G40" s="73">
        <v>3914</v>
      </c>
      <c r="H40" s="42"/>
    </row>
    <row r="41" spans="2:8" x14ac:dyDescent="0.35">
      <c r="B41" s="98">
        <v>31</v>
      </c>
      <c r="C41" s="60">
        <v>1776</v>
      </c>
      <c r="D41" s="41">
        <v>1765</v>
      </c>
      <c r="E41" s="41">
        <v>1529</v>
      </c>
      <c r="F41" s="41">
        <v>1460</v>
      </c>
      <c r="G41" s="73">
        <v>6530</v>
      </c>
      <c r="H41" s="42"/>
    </row>
    <row r="42" spans="2:8" x14ac:dyDescent="0.35">
      <c r="B42" s="98">
        <v>32</v>
      </c>
      <c r="C42" s="60">
        <v>620</v>
      </c>
      <c r="D42" s="41">
        <v>903</v>
      </c>
      <c r="E42" s="41">
        <v>1188</v>
      </c>
      <c r="F42" s="41">
        <v>846</v>
      </c>
      <c r="G42" s="73">
        <v>3557</v>
      </c>
      <c r="H42" s="42"/>
    </row>
    <row r="43" spans="2:8" x14ac:dyDescent="0.35">
      <c r="B43" s="98">
        <v>33</v>
      </c>
      <c r="C43" s="60">
        <v>298</v>
      </c>
      <c r="D43" s="41">
        <v>1722</v>
      </c>
      <c r="E43" s="41">
        <v>-144</v>
      </c>
      <c r="F43" s="41">
        <v>901</v>
      </c>
      <c r="G43" s="73">
        <v>2777</v>
      </c>
      <c r="H43" s="42"/>
    </row>
    <row r="44" spans="2:8" x14ac:dyDescent="0.35">
      <c r="B44" s="98">
        <v>34</v>
      </c>
      <c r="C44" s="60">
        <v>427</v>
      </c>
      <c r="D44" s="41">
        <v>1572</v>
      </c>
      <c r="E44" s="41">
        <v>891</v>
      </c>
      <c r="F44" s="41">
        <v>724</v>
      </c>
      <c r="G44" s="73">
        <v>3614</v>
      </c>
      <c r="H44" s="42"/>
    </row>
    <row r="45" spans="2:8" x14ac:dyDescent="0.35">
      <c r="B45" s="98">
        <v>35</v>
      </c>
      <c r="C45" s="60">
        <v>898</v>
      </c>
      <c r="D45" s="41">
        <v>-166</v>
      </c>
      <c r="E45" s="41">
        <v>1426</v>
      </c>
      <c r="F45" s="41">
        <v>1225</v>
      </c>
      <c r="G45" s="73">
        <v>3383</v>
      </c>
      <c r="H45" s="42"/>
    </row>
    <row r="46" spans="2:8" x14ac:dyDescent="0.35">
      <c r="B46" s="98">
        <v>36</v>
      </c>
      <c r="C46" s="60">
        <v>748</v>
      </c>
      <c r="D46" s="41">
        <v>1080</v>
      </c>
      <c r="E46" s="41">
        <v>569</v>
      </c>
      <c r="F46" s="41">
        <v>-203</v>
      </c>
      <c r="G46" s="73">
        <v>2194</v>
      </c>
      <c r="H46" s="42"/>
    </row>
    <row r="47" spans="2:8" x14ac:dyDescent="0.35">
      <c r="B47" s="98">
        <v>37</v>
      </c>
      <c r="C47" s="60">
        <v>912</v>
      </c>
      <c r="D47" s="41">
        <v>1723</v>
      </c>
      <c r="E47" s="41">
        <v>1202</v>
      </c>
      <c r="F47" s="41">
        <v>1444</v>
      </c>
      <c r="G47" s="73">
        <v>5281</v>
      </c>
      <c r="H47" s="42"/>
    </row>
    <row r="48" spans="2:8" x14ac:dyDescent="0.35">
      <c r="B48" s="98">
        <v>38</v>
      </c>
      <c r="C48" s="60">
        <v>1590</v>
      </c>
      <c r="D48" s="41">
        <v>965</v>
      </c>
      <c r="E48" s="41">
        <v>-37</v>
      </c>
      <c r="F48" s="41">
        <v>1175</v>
      </c>
      <c r="G48" s="73">
        <v>3693</v>
      </c>
      <c r="H48" s="42"/>
    </row>
    <row r="49" spans="2:8" x14ac:dyDescent="0.35">
      <c r="B49" s="98">
        <v>39</v>
      </c>
      <c r="C49" s="60">
        <v>1707</v>
      </c>
      <c r="D49" s="41">
        <v>1375</v>
      </c>
      <c r="E49" s="41">
        <v>708</v>
      </c>
      <c r="F49" s="41">
        <v>1016</v>
      </c>
      <c r="G49" s="73">
        <v>4806</v>
      </c>
      <c r="H49" s="42"/>
    </row>
    <row r="50" spans="2:8" x14ac:dyDescent="0.35">
      <c r="B50" s="98">
        <v>40</v>
      </c>
      <c r="C50" s="60">
        <v>-119</v>
      </c>
      <c r="D50" s="41">
        <v>1315</v>
      </c>
      <c r="E50" s="41">
        <v>899</v>
      </c>
      <c r="F50" s="41">
        <v>315</v>
      </c>
      <c r="G50" s="73">
        <v>2410</v>
      </c>
      <c r="H50" s="42"/>
    </row>
    <row r="51" spans="2:8" x14ac:dyDescent="0.35">
      <c r="B51" s="98">
        <v>41</v>
      </c>
      <c r="C51" s="60">
        <v>908</v>
      </c>
      <c r="D51" s="41">
        <v>212</v>
      </c>
      <c r="E51" s="41">
        <v>1350</v>
      </c>
      <c r="F51" s="41">
        <v>1242</v>
      </c>
      <c r="G51" s="73">
        <v>3712</v>
      </c>
      <c r="H51" s="42"/>
    </row>
    <row r="52" spans="2:8" x14ac:dyDescent="0.35">
      <c r="B52" s="98">
        <v>42</v>
      </c>
      <c r="C52" s="60">
        <v>1116</v>
      </c>
      <c r="D52" s="41">
        <v>680</v>
      </c>
      <c r="E52" s="41">
        <v>861</v>
      </c>
      <c r="F52" s="41">
        <v>1385</v>
      </c>
      <c r="G52" s="73">
        <v>4042</v>
      </c>
      <c r="H52" s="42"/>
    </row>
    <row r="53" spans="2:8" x14ac:dyDescent="0.35">
      <c r="B53" s="98">
        <v>43</v>
      </c>
      <c r="C53" s="60">
        <v>474</v>
      </c>
      <c r="D53" s="41">
        <v>461</v>
      </c>
      <c r="E53" s="41">
        <v>292</v>
      </c>
      <c r="F53" s="41">
        <v>389</v>
      </c>
      <c r="G53" s="73">
        <v>1616</v>
      </c>
      <c r="H53" s="42"/>
    </row>
    <row r="54" spans="2:8" x14ac:dyDescent="0.35">
      <c r="B54" s="98">
        <v>44</v>
      </c>
      <c r="C54" s="60">
        <v>514</v>
      </c>
      <c r="D54" s="41">
        <v>641</v>
      </c>
      <c r="E54" s="41">
        <v>1676</v>
      </c>
      <c r="F54" s="41">
        <v>1467</v>
      </c>
      <c r="G54" s="73">
        <v>4298</v>
      </c>
      <c r="H54" s="42"/>
    </row>
    <row r="55" spans="2:8" x14ac:dyDescent="0.35">
      <c r="B55" s="98">
        <v>45</v>
      </c>
      <c r="C55" s="60">
        <v>1029</v>
      </c>
      <c r="D55" s="41">
        <v>167</v>
      </c>
      <c r="E55" s="41">
        <v>1007</v>
      </c>
      <c r="F55" s="41">
        <v>209</v>
      </c>
      <c r="G55" s="73">
        <v>2412</v>
      </c>
      <c r="H55" s="42"/>
    </row>
    <row r="56" spans="2:8" x14ac:dyDescent="0.35">
      <c r="B56" s="98">
        <v>46</v>
      </c>
      <c r="C56" s="60">
        <v>-175</v>
      </c>
      <c r="D56" s="41">
        <v>-160</v>
      </c>
      <c r="E56" s="41">
        <v>53</v>
      </c>
      <c r="F56" s="41">
        <v>145</v>
      </c>
      <c r="G56" s="73">
        <v>-137</v>
      </c>
      <c r="H56" s="42"/>
    </row>
    <row r="57" spans="2:8" x14ac:dyDescent="0.35">
      <c r="B57" s="98">
        <v>47</v>
      </c>
      <c r="C57" s="60">
        <v>1045</v>
      </c>
      <c r="D57" s="41">
        <v>603</v>
      </c>
      <c r="E57" s="41">
        <v>759</v>
      </c>
      <c r="F57" s="41">
        <v>1633</v>
      </c>
      <c r="G57" s="73">
        <v>4040</v>
      </c>
      <c r="H57" s="42"/>
    </row>
    <row r="58" spans="2:8" x14ac:dyDescent="0.35">
      <c r="B58" s="98">
        <v>48</v>
      </c>
      <c r="C58" s="60">
        <v>453</v>
      </c>
      <c r="D58" s="41">
        <v>1539</v>
      </c>
      <c r="E58" s="41">
        <v>948</v>
      </c>
      <c r="F58" s="41">
        <v>637</v>
      </c>
      <c r="G58" s="73">
        <v>3577</v>
      </c>
      <c r="H58" s="42"/>
    </row>
    <row r="59" spans="2:8" x14ac:dyDescent="0.35">
      <c r="B59" s="98">
        <v>49</v>
      </c>
      <c r="C59" s="60">
        <v>339</v>
      </c>
      <c r="D59" s="41">
        <v>1881</v>
      </c>
      <c r="E59" s="41">
        <v>1510</v>
      </c>
      <c r="F59" s="41">
        <v>864</v>
      </c>
      <c r="G59" s="73">
        <v>4594</v>
      </c>
      <c r="H59" s="42"/>
    </row>
    <row r="60" spans="2:8" ht="15" thickBot="1" x14ac:dyDescent="0.4">
      <c r="B60" s="99">
        <v>50</v>
      </c>
      <c r="C60" s="60">
        <v>407</v>
      </c>
      <c r="D60" s="41">
        <v>1656</v>
      </c>
      <c r="E60" s="41">
        <v>269</v>
      </c>
      <c r="F60" s="41">
        <v>-337</v>
      </c>
      <c r="G60" s="73">
        <v>1995</v>
      </c>
      <c r="H60" s="42"/>
    </row>
    <row r="61" spans="2:8" ht="15" thickBot="1" x14ac:dyDescent="0.4">
      <c r="B61" s="100" t="s">
        <v>389</v>
      </c>
      <c r="C61" s="61">
        <v>35557</v>
      </c>
      <c r="D61" s="43">
        <v>48004</v>
      </c>
      <c r="E61" s="43">
        <v>41177</v>
      </c>
      <c r="F61" s="43">
        <v>35367</v>
      </c>
      <c r="G61" s="74">
        <v>160105</v>
      </c>
      <c r="H61" s="44"/>
    </row>
    <row r="63" spans="2:8" ht="15" thickBot="1" x14ac:dyDescent="0.4"/>
    <row r="64" spans="2:8" ht="24" thickBot="1" x14ac:dyDescent="0.6">
      <c r="B64" s="90" t="s">
        <v>433</v>
      </c>
      <c r="C64" s="91"/>
      <c r="D64" s="91"/>
      <c r="E64" s="90"/>
      <c r="F64" s="27"/>
      <c r="G64" s="28"/>
      <c r="H64" s="28"/>
    </row>
    <row r="67" spans="2:3" x14ac:dyDescent="0.35">
      <c r="B67" s="13" t="s">
        <v>384</v>
      </c>
      <c r="C67" t="s">
        <v>405</v>
      </c>
    </row>
    <row r="68" spans="2:3" x14ac:dyDescent="0.35">
      <c r="B68">
        <v>15</v>
      </c>
      <c r="C68" s="1">
        <v>4360</v>
      </c>
    </row>
    <row r="69" spans="2:3" x14ac:dyDescent="0.35">
      <c r="B69">
        <v>23</v>
      </c>
      <c r="C69" s="1">
        <v>4584</v>
      </c>
    </row>
    <row r="70" spans="2:3" x14ac:dyDescent="0.35">
      <c r="B70">
        <v>27</v>
      </c>
      <c r="C70" s="1">
        <v>4795</v>
      </c>
    </row>
    <row r="71" spans="2:3" x14ac:dyDescent="0.35">
      <c r="B71">
        <v>28</v>
      </c>
      <c r="C71" s="1">
        <v>4792</v>
      </c>
    </row>
    <row r="72" spans="2:3" x14ac:dyDescent="0.35">
      <c r="B72">
        <v>29</v>
      </c>
      <c r="C72" s="1">
        <v>5044</v>
      </c>
    </row>
    <row r="73" spans="2:3" x14ac:dyDescent="0.35">
      <c r="B73">
        <v>31</v>
      </c>
      <c r="C73" s="1">
        <v>6530</v>
      </c>
    </row>
    <row r="74" spans="2:3" x14ac:dyDescent="0.35">
      <c r="B74">
        <v>37</v>
      </c>
      <c r="C74" s="1">
        <v>5281</v>
      </c>
    </row>
    <row r="75" spans="2:3" x14ac:dyDescent="0.35">
      <c r="B75">
        <v>39</v>
      </c>
      <c r="C75" s="1">
        <v>4806</v>
      </c>
    </row>
    <row r="76" spans="2:3" x14ac:dyDescent="0.35">
      <c r="B76">
        <v>44</v>
      </c>
      <c r="C76" s="1">
        <v>4298</v>
      </c>
    </row>
    <row r="77" spans="2:3" x14ac:dyDescent="0.35">
      <c r="B77">
        <v>49</v>
      </c>
      <c r="C77" s="1">
        <v>4594</v>
      </c>
    </row>
    <row r="83" spans="2:8" ht="15" thickBot="1" x14ac:dyDescent="0.4"/>
    <row r="84" spans="2:8" ht="24" thickBot="1" x14ac:dyDescent="0.6">
      <c r="B84" s="90" t="s">
        <v>434</v>
      </c>
      <c r="C84" s="91"/>
      <c r="D84" s="91"/>
      <c r="E84" s="90"/>
      <c r="F84" s="56"/>
      <c r="G84" s="27"/>
      <c r="H84" s="28"/>
    </row>
    <row r="86" spans="2:8" ht="15" thickBot="1" x14ac:dyDescent="0.4"/>
    <row r="87" spans="2:8" x14ac:dyDescent="0.35">
      <c r="B87" s="32" t="s">
        <v>384</v>
      </c>
      <c r="C87" s="40" t="s">
        <v>405</v>
      </c>
      <c r="D87" s="101" t="s">
        <v>435</v>
      </c>
      <c r="E87" s="33"/>
    </row>
    <row r="88" spans="2:8" x14ac:dyDescent="0.35">
      <c r="B88" s="93">
        <v>1</v>
      </c>
      <c r="C88" s="41">
        <v>3554</v>
      </c>
      <c r="D88" s="102">
        <f>AVERAGE(C88:C137)</f>
        <v>3202.1</v>
      </c>
      <c r="E88" s="42"/>
    </row>
    <row r="89" spans="2:8" x14ac:dyDescent="0.35">
      <c r="B89" s="93">
        <v>2</v>
      </c>
      <c r="C89" s="41">
        <v>2980</v>
      </c>
      <c r="D89" s="102">
        <f t="shared" ref="D89:D137" si="0">AVERAGE(C89:C138)</f>
        <v>3194.9183673469388</v>
      </c>
      <c r="E89" s="42"/>
    </row>
    <row r="90" spans="2:8" x14ac:dyDescent="0.35">
      <c r="B90" s="93">
        <v>3</v>
      </c>
      <c r="C90" s="41">
        <v>3907</v>
      </c>
      <c r="D90" s="102">
        <f t="shared" si="0"/>
        <v>3199.3958333333335</v>
      </c>
      <c r="E90" s="42"/>
    </row>
    <row r="91" spans="2:8" x14ac:dyDescent="0.35">
      <c r="B91" s="93">
        <v>4</v>
      </c>
      <c r="C91" s="41">
        <v>3011</v>
      </c>
      <c r="D91" s="102">
        <f t="shared" si="0"/>
        <v>3184.3404255319151</v>
      </c>
      <c r="E91" s="42"/>
    </row>
    <row r="92" spans="2:8" x14ac:dyDescent="0.35">
      <c r="B92" s="93">
        <v>5</v>
      </c>
      <c r="C92" s="41">
        <v>1293</v>
      </c>
      <c r="D92" s="102">
        <f t="shared" si="0"/>
        <v>3188.108695652174</v>
      </c>
      <c r="E92" s="42"/>
    </row>
    <row r="93" spans="2:8" x14ac:dyDescent="0.35">
      <c r="B93" s="93">
        <v>6</v>
      </c>
      <c r="C93" s="41">
        <v>3042</v>
      </c>
      <c r="D93" s="102">
        <f t="shared" si="0"/>
        <v>3230.2222222222222</v>
      </c>
      <c r="E93" s="42"/>
    </row>
    <row r="94" spans="2:8" x14ac:dyDescent="0.35">
      <c r="B94" s="93">
        <v>7</v>
      </c>
      <c r="C94" s="41">
        <v>2270</v>
      </c>
      <c r="D94" s="102">
        <f t="shared" si="0"/>
        <v>3234.5</v>
      </c>
      <c r="E94" s="42"/>
    </row>
    <row r="95" spans="2:8" x14ac:dyDescent="0.35">
      <c r="B95" s="93">
        <v>8</v>
      </c>
      <c r="C95" s="41">
        <v>2753</v>
      </c>
      <c r="D95" s="102">
        <f t="shared" si="0"/>
        <v>3256.9302325581393</v>
      </c>
      <c r="E95" s="42"/>
    </row>
    <row r="96" spans="2:8" x14ac:dyDescent="0.35">
      <c r="B96" s="93">
        <v>9</v>
      </c>
      <c r="C96" s="41">
        <v>2193</v>
      </c>
      <c r="D96" s="102">
        <f t="shared" si="0"/>
        <v>3268.9285714285716</v>
      </c>
      <c r="E96" s="42"/>
    </row>
    <row r="97" spans="2:5" x14ac:dyDescent="0.35">
      <c r="B97" s="93">
        <v>10</v>
      </c>
      <c r="C97" s="41">
        <v>802</v>
      </c>
      <c r="D97" s="102">
        <f t="shared" si="0"/>
        <v>3295.1707317073169</v>
      </c>
      <c r="E97" s="42"/>
    </row>
    <row r="98" spans="2:5" x14ac:dyDescent="0.35">
      <c r="B98" s="93">
        <v>11</v>
      </c>
      <c r="C98" s="41">
        <v>3728</v>
      </c>
      <c r="D98" s="102">
        <f t="shared" si="0"/>
        <v>3357.5</v>
      </c>
      <c r="E98" s="42"/>
    </row>
    <row r="99" spans="2:5" x14ac:dyDescent="0.35">
      <c r="B99" s="93">
        <v>12</v>
      </c>
      <c r="C99" s="41">
        <v>2989</v>
      </c>
      <c r="D99" s="102">
        <f t="shared" si="0"/>
        <v>3348</v>
      </c>
      <c r="E99" s="42"/>
    </row>
    <row r="100" spans="2:5" x14ac:dyDescent="0.35">
      <c r="B100" s="93">
        <v>13</v>
      </c>
      <c r="C100" s="41">
        <v>2903</v>
      </c>
      <c r="D100" s="102">
        <f t="shared" si="0"/>
        <v>3357.4473684210525</v>
      </c>
      <c r="E100" s="42"/>
    </row>
    <row r="101" spans="2:5" x14ac:dyDescent="0.35">
      <c r="B101" s="93">
        <v>14</v>
      </c>
      <c r="C101" s="41">
        <v>2822</v>
      </c>
      <c r="D101" s="102">
        <f t="shared" si="0"/>
        <v>3369.7297297297296</v>
      </c>
      <c r="E101" s="42"/>
    </row>
    <row r="102" spans="2:5" x14ac:dyDescent="0.35">
      <c r="B102" s="93">
        <v>15</v>
      </c>
      <c r="C102" s="41">
        <v>4360</v>
      </c>
      <c r="D102" s="102">
        <f t="shared" si="0"/>
        <v>3384.9444444444443</v>
      </c>
      <c r="E102" s="42"/>
    </row>
    <row r="103" spans="2:5" x14ac:dyDescent="0.35">
      <c r="B103" s="93">
        <v>16</v>
      </c>
      <c r="C103" s="41">
        <v>1568</v>
      </c>
      <c r="D103" s="102">
        <f t="shared" si="0"/>
        <v>3357.0857142857144</v>
      </c>
      <c r="E103" s="42"/>
    </row>
    <row r="104" spans="2:5" x14ac:dyDescent="0.35">
      <c r="B104" s="93">
        <v>17</v>
      </c>
      <c r="C104" s="41">
        <v>3333</v>
      </c>
      <c r="D104" s="102">
        <f t="shared" si="0"/>
        <v>3409.705882352941</v>
      </c>
      <c r="E104" s="42"/>
    </row>
    <row r="105" spans="2:5" x14ac:dyDescent="0.35">
      <c r="B105" s="93">
        <v>18</v>
      </c>
      <c r="C105" s="41">
        <v>3151</v>
      </c>
      <c r="D105" s="102">
        <f t="shared" si="0"/>
        <v>3412.030303030303</v>
      </c>
      <c r="E105" s="42"/>
    </row>
    <row r="106" spans="2:5" x14ac:dyDescent="0.35">
      <c r="B106" s="93">
        <v>19</v>
      </c>
      <c r="C106" s="41">
        <v>3759</v>
      </c>
      <c r="D106" s="102">
        <f t="shared" si="0"/>
        <v>3420.1875</v>
      </c>
      <c r="E106" s="42"/>
    </row>
    <row r="107" spans="2:5" x14ac:dyDescent="0.35">
      <c r="B107" s="93">
        <v>20</v>
      </c>
      <c r="C107" s="41">
        <v>1856</v>
      </c>
      <c r="D107" s="102">
        <f t="shared" si="0"/>
        <v>3409.2580645161293</v>
      </c>
      <c r="E107" s="42"/>
    </row>
    <row r="108" spans="2:5" x14ac:dyDescent="0.35">
      <c r="B108" s="93">
        <v>21</v>
      </c>
      <c r="C108" s="41">
        <v>2821</v>
      </c>
      <c r="D108" s="102">
        <f t="shared" si="0"/>
        <v>3461.0333333333333</v>
      </c>
      <c r="E108" s="42"/>
    </row>
    <row r="109" spans="2:5" x14ac:dyDescent="0.35">
      <c r="B109" s="93">
        <v>22</v>
      </c>
      <c r="C109" s="41">
        <v>2656</v>
      </c>
      <c r="D109" s="102">
        <f t="shared" si="0"/>
        <v>3483.1034482758619</v>
      </c>
      <c r="E109" s="42"/>
    </row>
    <row r="110" spans="2:5" x14ac:dyDescent="0.35">
      <c r="B110" s="93">
        <v>23</v>
      </c>
      <c r="C110" s="41">
        <v>4584</v>
      </c>
      <c r="D110" s="102">
        <f t="shared" si="0"/>
        <v>3512.6428571428573</v>
      </c>
      <c r="E110" s="42"/>
    </row>
    <row r="111" spans="2:5" x14ac:dyDescent="0.35">
      <c r="B111" s="93">
        <v>24</v>
      </c>
      <c r="C111" s="41">
        <v>2295</v>
      </c>
      <c r="D111" s="102">
        <f t="shared" si="0"/>
        <v>3472.962962962963</v>
      </c>
      <c r="E111" s="42"/>
    </row>
    <row r="112" spans="2:5" x14ac:dyDescent="0.35">
      <c r="B112" s="93">
        <v>25</v>
      </c>
      <c r="C112" s="41">
        <v>528</v>
      </c>
      <c r="D112" s="102">
        <f t="shared" si="0"/>
        <v>3518.2692307692309</v>
      </c>
      <c r="E112" s="42"/>
    </row>
    <row r="113" spans="2:5" x14ac:dyDescent="0.35">
      <c r="B113" s="93">
        <v>26</v>
      </c>
      <c r="C113" s="41">
        <v>4008</v>
      </c>
      <c r="D113" s="102">
        <f t="shared" si="0"/>
        <v>3637.88</v>
      </c>
      <c r="E113" s="42"/>
    </row>
    <row r="114" spans="2:5" x14ac:dyDescent="0.35">
      <c r="B114" s="93">
        <v>27</v>
      </c>
      <c r="C114" s="41">
        <v>4795</v>
      </c>
      <c r="D114" s="102">
        <f t="shared" si="0"/>
        <v>3622.4583333333335</v>
      </c>
      <c r="E114" s="42"/>
    </row>
    <row r="115" spans="2:5" x14ac:dyDescent="0.35">
      <c r="B115" s="93">
        <v>28</v>
      </c>
      <c r="C115" s="41">
        <v>4792</v>
      </c>
      <c r="D115" s="102">
        <f t="shared" si="0"/>
        <v>3571.478260869565</v>
      </c>
      <c r="E115" s="42"/>
    </row>
    <row r="116" spans="2:5" x14ac:dyDescent="0.35">
      <c r="B116" s="93">
        <v>29</v>
      </c>
      <c r="C116" s="41">
        <v>5044</v>
      </c>
      <c r="D116" s="102">
        <f t="shared" si="0"/>
        <v>3516</v>
      </c>
      <c r="E116" s="42"/>
    </row>
    <row r="117" spans="2:5" x14ac:dyDescent="0.35">
      <c r="B117" s="93">
        <v>30</v>
      </c>
      <c r="C117" s="41">
        <v>3914</v>
      </c>
      <c r="D117" s="102">
        <f t="shared" si="0"/>
        <v>3443.2380952380954</v>
      </c>
      <c r="E117" s="42"/>
    </row>
    <row r="118" spans="2:5" x14ac:dyDescent="0.35">
      <c r="B118" s="93">
        <v>31</v>
      </c>
      <c r="C118" s="41">
        <v>6530</v>
      </c>
      <c r="D118" s="102">
        <f t="shared" si="0"/>
        <v>3419.7</v>
      </c>
      <c r="E118" s="42"/>
    </row>
    <row r="119" spans="2:5" x14ac:dyDescent="0.35">
      <c r="B119" s="93">
        <v>32</v>
      </c>
      <c r="C119" s="41">
        <v>3557</v>
      </c>
      <c r="D119" s="102">
        <f t="shared" si="0"/>
        <v>3256</v>
      </c>
      <c r="E119" s="42"/>
    </row>
    <row r="120" spans="2:5" x14ac:dyDescent="0.35">
      <c r="B120" s="93">
        <v>33</v>
      </c>
      <c r="C120" s="41">
        <v>2777</v>
      </c>
      <c r="D120" s="102">
        <f t="shared" si="0"/>
        <v>3239.2777777777778</v>
      </c>
      <c r="E120" s="42"/>
    </row>
    <row r="121" spans="2:5" x14ac:dyDescent="0.35">
      <c r="B121" s="93">
        <v>34</v>
      </c>
      <c r="C121" s="41">
        <v>3614</v>
      </c>
      <c r="D121" s="102">
        <f t="shared" si="0"/>
        <v>3266.4705882352941</v>
      </c>
      <c r="E121" s="42"/>
    </row>
    <row r="122" spans="2:5" x14ac:dyDescent="0.35">
      <c r="B122" s="93">
        <v>35</v>
      </c>
      <c r="C122" s="41">
        <v>3383</v>
      </c>
      <c r="D122" s="102">
        <f t="shared" si="0"/>
        <v>3244.75</v>
      </c>
      <c r="E122" s="42"/>
    </row>
    <row r="123" spans="2:5" x14ac:dyDescent="0.35">
      <c r="B123" s="93">
        <v>36</v>
      </c>
      <c r="C123" s="41">
        <v>2194</v>
      </c>
      <c r="D123" s="102">
        <f t="shared" si="0"/>
        <v>3235.5333333333333</v>
      </c>
      <c r="E123" s="42"/>
    </row>
    <row r="124" spans="2:5" x14ac:dyDescent="0.35">
      <c r="B124" s="93">
        <v>37</v>
      </c>
      <c r="C124" s="41">
        <v>5281</v>
      </c>
      <c r="D124" s="102">
        <f t="shared" si="0"/>
        <v>3309.9285714285716</v>
      </c>
      <c r="E124" s="42"/>
    </row>
    <row r="125" spans="2:5" x14ac:dyDescent="0.35">
      <c r="B125" s="93">
        <v>38</v>
      </c>
      <c r="C125" s="41">
        <v>3693</v>
      </c>
      <c r="D125" s="102">
        <f t="shared" si="0"/>
        <v>3158.3076923076924</v>
      </c>
      <c r="E125" s="42"/>
    </row>
    <row r="126" spans="2:5" x14ac:dyDescent="0.35">
      <c r="B126" s="93">
        <v>39</v>
      </c>
      <c r="C126" s="41">
        <v>4806</v>
      </c>
      <c r="D126" s="102">
        <f t="shared" si="0"/>
        <v>3113.75</v>
      </c>
      <c r="E126" s="42"/>
    </row>
    <row r="127" spans="2:5" x14ac:dyDescent="0.35">
      <c r="B127" s="93">
        <v>40</v>
      </c>
      <c r="C127" s="41">
        <v>2410</v>
      </c>
      <c r="D127" s="102">
        <f t="shared" si="0"/>
        <v>2959.909090909091</v>
      </c>
      <c r="E127" s="42"/>
    </row>
    <row r="128" spans="2:5" x14ac:dyDescent="0.35">
      <c r="B128" s="93">
        <v>41</v>
      </c>
      <c r="C128" s="41">
        <v>3712</v>
      </c>
      <c r="D128" s="102">
        <f t="shared" si="0"/>
        <v>3014.9</v>
      </c>
      <c r="E128" s="42"/>
    </row>
    <row r="129" spans="2:9" x14ac:dyDescent="0.35">
      <c r="B129" s="93">
        <v>42</v>
      </c>
      <c r="C129" s="41">
        <v>4042</v>
      </c>
      <c r="D129" s="102">
        <f t="shared" si="0"/>
        <v>2937.4444444444443</v>
      </c>
      <c r="E129" s="42"/>
    </row>
    <row r="130" spans="2:9" x14ac:dyDescent="0.35">
      <c r="B130" s="93">
        <v>43</v>
      </c>
      <c r="C130" s="41">
        <v>1616</v>
      </c>
      <c r="D130" s="102">
        <f t="shared" si="0"/>
        <v>2799.375</v>
      </c>
      <c r="E130" s="42"/>
    </row>
    <row r="131" spans="2:9" x14ac:dyDescent="0.35">
      <c r="B131" s="93">
        <v>44</v>
      </c>
      <c r="C131" s="41">
        <v>4298</v>
      </c>
      <c r="D131" s="102">
        <f t="shared" si="0"/>
        <v>2968.4285714285716</v>
      </c>
      <c r="E131" s="42"/>
    </row>
    <row r="132" spans="2:9" x14ac:dyDescent="0.35">
      <c r="B132" s="93">
        <v>45</v>
      </c>
      <c r="C132" s="41">
        <v>2412</v>
      </c>
      <c r="D132" s="102">
        <f t="shared" si="0"/>
        <v>2746.8333333333335</v>
      </c>
      <c r="E132" s="42"/>
    </row>
    <row r="133" spans="2:9" x14ac:dyDescent="0.35">
      <c r="B133" s="93">
        <v>46</v>
      </c>
      <c r="C133" s="41">
        <v>-137</v>
      </c>
      <c r="D133" s="102">
        <f t="shared" si="0"/>
        <v>2813.8</v>
      </c>
      <c r="E133" s="42"/>
    </row>
    <row r="134" spans="2:9" x14ac:dyDescent="0.35">
      <c r="B134" s="93">
        <v>47</v>
      </c>
      <c r="C134" s="41">
        <v>4040</v>
      </c>
      <c r="D134" s="102">
        <f t="shared" si="0"/>
        <v>3551.5</v>
      </c>
      <c r="E134" s="42"/>
    </row>
    <row r="135" spans="2:9" x14ac:dyDescent="0.35">
      <c r="B135" s="93">
        <v>48</v>
      </c>
      <c r="C135" s="41">
        <v>3577</v>
      </c>
      <c r="D135" s="102">
        <f t="shared" si="0"/>
        <v>3388.6666666666665</v>
      </c>
      <c r="E135" s="42"/>
    </row>
    <row r="136" spans="2:9" x14ac:dyDescent="0.35">
      <c r="B136" s="93">
        <v>49</v>
      </c>
      <c r="C136" s="41">
        <v>4594</v>
      </c>
      <c r="D136" s="102">
        <f t="shared" si="0"/>
        <v>3294.5</v>
      </c>
      <c r="E136" s="42"/>
    </row>
    <row r="137" spans="2:9" ht="15" thickBot="1" x14ac:dyDescent="0.4">
      <c r="B137" s="94">
        <v>50</v>
      </c>
      <c r="C137" s="43">
        <v>1995</v>
      </c>
      <c r="D137" s="103">
        <f t="shared" si="0"/>
        <v>1995</v>
      </c>
      <c r="E137" s="44"/>
    </row>
    <row r="140" spans="2:9" ht="15" thickBot="1" x14ac:dyDescent="0.4"/>
    <row r="141" spans="2:9" ht="24" thickBot="1" x14ac:dyDescent="0.6">
      <c r="B141" s="90" t="s">
        <v>436</v>
      </c>
      <c r="C141" s="91"/>
      <c r="D141" s="90"/>
      <c r="E141" s="90"/>
      <c r="F141" s="27"/>
      <c r="G141" s="27"/>
      <c r="H141" s="28"/>
      <c r="I141" s="28"/>
    </row>
  </sheetData>
  <conditionalFormatting pivot="1" sqref="C68:C77">
    <cfRule type="dataBar" priority="1">
      <dataBar>
        <cfvo type="min"/>
        <cfvo type="max"/>
        <color rgb="FF63C384"/>
      </dataBar>
      <extLst>
        <ext xmlns:x14="http://schemas.microsoft.com/office/spreadsheetml/2009/9/main" uri="{B025F937-C7B1-47D3-B67F-A62EFF666E3E}">
          <x14:id>{44920B4F-937E-45BA-9B81-ACB0CFEC35B2}</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44920B4F-937E-45BA-9B81-ACB0CFEC35B2}">
            <x14:dataBar minLength="0" maxLength="100" border="1" negativeBarBorderColorSameAsPositive="0">
              <x14:cfvo type="autoMin"/>
              <x14:cfvo type="autoMax"/>
              <x14:borderColor rgb="FF63C384"/>
              <x14:negativeFillColor rgb="FFFF0000"/>
              <x14:negativeBorderColor rgb="FFFF0000"/>
              <x14:axisColor rgb="FF000000"/>
            </x14:dataBar>
          </x14:cfRule>
          <xm:sqref>C68:C77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BA67-9F07-4434-81CA-7C5ED69FD4AE}">
  <dimension ref="B1:L23"/>
  <sheetViews>
    <sheetView topLeftCell="A8" workbookViewId="0">
      <selection activeCell="B17" sqref="B17"/>
    </sheetView>
  </sheetViews>
  <sheetFormatPr defaultRowHeight="14.5" x14ac:dyDescent="0.35"/>
  <sheetData>
    <row r="1" spans="2:12" ht="15" thickBot="1" x14ac:dyDescent="0.4"/>
    <row r="2" spans="2:12" ht="24" thickBot="1" x14ac:dyDescent="0.6">
      <c r="B2" s="26" t="s">
        <v>438</v>
      </c>
      <c r="C2" s="27"/>
      <c r="D2" s="27"/>
      <c r="E2" s="27"/>
      <c r="F2" s="27"/>
      <c r="G2" s="27"/>
      <c r="H2" s="27"/>
      <c r="I2" s="27"/>
      <c r="J2" s="28"/>
    </row>
    <row r="5" spans="2:12" x14ac:dyDescent="0.35">
      <c r="B5" t="s">
        <v>439</v>
      </c>
    </row>
    <row r="7" spans="2:12" ht="15" thickBot="1" x14ac:dyDescent="0.4"/>
    <row r="8" spans="2:12" ht="24" thickBot="1" x14ac:dyDescent="0.6">
      <c r="B8" s="26" t="s">
        <v>440</v>
      </c>
      <c r="C8" s="27"/>
      <c r="D8" s="27"/>
      <c r="E8" s="27"/>
      <c r="F8" s="27"/>
      <c r="G8" s="27"/>
      <c r="H8" s="27"/>
      <c r="I8" s="28"/>
    </row>
    <row r="11" spans="2:12" x14ac:dyDescent="0.35">
      <c r="B11" t="s">
        <v>441</v>
      </c>
    </row>
    <row r="13" spans="2:12" ht="15" thickBot="1" x14ac:dyDescent="0.4"/>
    <row r="14" spans="2:12" ht="24" thickBot="1" x14ac:dyDescent="0.6">
      <c r="B14" s="26" t="s">
        <v>442</v>
      </c>
      <c r="C14" s="27"/>
      <c r="D14" s="27"/>
      <c r="E14" s="27"/>
      <c r="F14" s="27"/>
      <c r="G14" s="27"/>
      <c r="H14" s="27"/>
      <c r="I14" s="27"/>
      <c r="J14" s="27"/>
      <c r="K14" s="27"/>
      <c r="L14" s="28"/>
    </row>
    <row r="17" spans="2:11" x14ac:dyDescent="0.35">
      <c r="B17" t="s">
        <v>443</v>
      </c>
    </row>
    <row r="19" spans="2:11" ht="15" thickBot="1" x14ac:dyDescent="0.4"/>
    <row r="20" spans="2:11" ht="24" thickBot="1" x14ac:dyDescent="0.6">
      <c r="B20" s="26" t="s">
        <v>444</v>
      </c>
      <c r="C20" s="27"/>
      <c r="D20" s="27"/>
      <c r="E20" s="27"/>
      <c r="F20" s="27"/>
      <c r="G20" s="27"/>
      <c r="H20" s="27"/>
      <c r="I20" s="27"/>
      <c r="J20" s="27"/>
      <c r="K20" s="28"/>
    </row>
    <row r="23" spans="2:11" x14ac:dyDescent="0.35">
      <c r="B23" t="s">
        <v>445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9D8B-B922-4813-A5B5-EF21B03BEB6D}">
  <dimension ref="C3:D3"/>
  <sheetViews>
    <sheetView workbookViewId="0">
      <selection activeCell="H10" sqref="H10"/>
    </sheetView>
  </sheetViews>
  <sheetFormatPr defaultRowHeight="14.5" x14ac:dyDescent="0.35"/>
  <sheetData>
    <row r="3" spans="3:4" x14ac:dyDescent="0.35">
      <c r="C3" t="s">
        <v>446</v>
      </c>
      <c r="D3" s="105" t="s">
        <v>449</v>
      </c>
    </row>
  </sheetData>
  <hyperlinks>
    <hyperlink ref="D3" r:id="rId1" display="https://urldefense.com/v3/__https:/drive.google.com/file/d/1lNlFUnIV-vZCJ1BUAPSirTbtmKhl0EWl/view?usp=sharing__;!!D5WlZnHMtQ!W25virWoRLLVS6evf7-6sQl1QKx3x3XD0bBw9FrnkXLidgskO-Xw9Vvp3YLy3gM_yK18eKQJ5NRKt_YKhEePyFJ3dw$" xr:uid="{89E28E59-44E0-457F-97A1-D1C365505EEB}"/>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F36194-033C-4814-8B77-AADF700277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Posts</vt:lpstr>
      <vt:lpstr>Campaign</vt:lpstr>
      <vt:lpstr>Engagement Summary</vt:lpstr>
      <vt:lpstr>Task 2</vt:lpstr>
      <vt:lpstr>Task 3</vt:lpstr>
      <vt:lpstr>Task 4</vt:lpstr>
      <vt:lpstr>Task 5</vt:lpstr>
      <vt:lpstr>Task 6</vt:lpstr>
      <vt:lpstr>clarity</vt:lpstr>
      <vt:lpstr>video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 Soumiya</dc:creator>
  <cp:lastModifiedBy>A.P.R, Soumiya</cp:lastModifiedBy>
  <dcterms:created xsi:type="dcterms:W3CDTF">2026-03-30T12:54:03Z</dcterms:created>
  <dcterms:modified xsi:type="dcterms:W3CDTF">2026-03-31T18:20:23Z</dcterms:modified>
</cp:coreProperties>
</file>